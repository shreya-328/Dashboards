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hre\Desktop\"/>
    </mc:Choice>
  </mc:AlternateContent>
  <xr:revisionPtr revIDLastSave="0" documentId="13_ncr:9_{54F55800-3C21-44ED-9D3C-676D8742AE16}" xr6:coauthVersionLast="47" xr6:coauthVersionMax="47" xr10:uidLastSave="{00000000-0000-0000-0000-000000000000}"/>
  <bookViews>
    <workbookView xWindow="-108" yWindow="-108" windowWidth="23256" windowHeight="12576" xr2:uid="{F2A1A394-3AB3-4022-91F3-6F265F3BC9EA}"/>
  </bookViews>
  <sheets>
    <sheet name="sales_excellence_universal_dirt" sheetId="1" r:id="rId1"/>
  </sheets>
  <calcPr calcId="0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V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2" i="1"/>
  <c r="R3" i="1"/>
  <c r="S3" i="1" s="1"/>
  <c r="W3" i="1" s="1" a="1"/>
  <c r="W3" i="1" s="1"/>
  <c r="R4" i="1"/>
  <c r="S4" i="1" s="1"/>
  <c r="W4" i="1" s="1" a="1"/>
  <c r="W4" i="1" s="1"/>
  <c r="R5" i="1"/>
  <c r="S5" i="1" s="1"/>
  <c r="W5" i="1" s="1" a="1"/>
  <c r="W5" i="1" s="1"/>
  <c r="R6" i="1"/>
  <c r="S6" i="1" s="1"/>
  <c r="W6" i="1" s="1" a="1"/>
  <c r="W6" i="1" s="1"/>
  <c r="R7" i="1"/>
  <c r="S7" i="1" s="1"/>
  <c r="W7" i="1" s="1" a="1"/>
  <c r="W7" i="1" s="1"/>
  <c r="R8" i="1"/>
  <c r="S8" i="1" s="1"/>
  <c r="W8" i="1" s="1" a="1"/>
  <c r="W8" i="1" s="1"/>
  <c r="R9" i="1"/>
  <c r="S9" i="1" s="1"/>
  <c r="W9" i="1" s="1" a="1"/>
  <c r="W9" i="1" s="1"/>
  <c r="R10" i="1"/>
  <c r="S10" i="1" s="1"/>
  <c r="W10" i="1" s="1" a="1"/>
  <c r="W10" i="1" s="1"/>
  <c r="R11" i="1"/>
  <c r="S11" i="1" s="1"/>
  <c r="W11" i="1" s="1" a="1"/>
  <c r="W11" i="1" s="1"/>
  <c r="R12" i="1"/>
  <c r="S12" i="1" s="1"/>
  <c r="W12" i="1" s="1" a="1"/>
  <c r="W12" i="1" s="1"/>
  <c r="R13" i="1"/>
  <c r="S13" i="1" s="1"/>
  <c r="W13" i="1" s="1" a="1"/>
  <c r="W13" i="1" s="1"/>
  <c r="R14" i="1"/>
  <c r="S14" i="1" s="1"/>
  <c r="W14" i="1" s="1" a="1"/>
  <c r="W14" i="1" s="1"/>
  <c r="R15" i="1"/>
  <c r="S15" i="1" s="1"/>
  <c r="W15" i="1" s="1" a="1"/>
  <c r="W15" i="1" s="1"/>
  <c r="R16" i="1"/>
  <c r="S16" i="1" s="1"/>
  <c r="W16" i="1" s="1" a="1"/>
  <c r="W16" i="1" s="1"/>
  <c r="R17" i="1"/>
  <c r="S17" i="1" s="1"/>
  <c r="W17" i="1" s="1" a="1"/>
  <c r="W17" i="1" s="1"/>
  <c r="R18" i="1"/>
  <c r="S18" i="1" s="1"/>
  <c r="W18" i="1" s="1" a="1"/>
  <c r="W18" i="1" s="1"/>
  <c r="R19" i="1"/>
  <c r="S19" i="1" s="1"/>
  <c r="W19" i="1" s="1" a="1"/>
  <c r="W19" i="1" s="1"/>
  <c r="R20" i="1"/>
  <c r="S20" i="1" s="1"/>
  <c r="W20" i="1" s="1" a="1"/>
  <c r="W20" i="1" s="1"/>
  <c r="R21" i="1"/>
  <c r="S21" i="1" s="1"/>
  <c r="W21" i="1" s="1" a="1"/>
  <c r="W21" i="1" s="1"/>
  <c r="R22" i="1"/>
  <c r="S22" i="1" s="1"/>
  <c r="W22" i="1" s="1" a="1"/>
  <c r="W22" i="1" s="1"/>
  <c r="R23" i="1"/>
  <c r="S23" i="1" s="1"/>
  <c r="W23" i="1" s="1" a="1"/>
  <c r="W23" i="1" s="1"/>
  <c r="R24" i="1"/>
  <c r="S24" i="1" s="1"/>
  <c r="W24" i="1" s="1" a="1"/>
  <c r="W24" i="1" s="1"/>
  <c r="R25" i="1"/>
  <c r="S25" i="1" s="1"/>
  <c r="W25" i="1" s="1" a="1"/>
  <c r="W25" i="1" s="1"/>
  <c r="R26" i="1"/>
  <c r="S26" i="1" s="1"/>
  <c r="W26" i="1" s="1" a="1"/>
  <c r="W26" i="1" s="1"/>
  <c r="R27" i="1"/>
  <c r="S27" i="1" s="1"/>
  <c r="W27" i="1" s="1" a="1"/>
  <c r="W27" i="1" s="1"/>
  <c r="R28" i="1"/>
  <c r="S28" i="1" s="1"/>
  <c r="W28" i="1" s="1" a="1"/>
  <c r="W28" i="1" s="1"/>
  <c r="R29" i="1"/>
  <c r="S29" i="1" s="1"/>
  <c r="W29" i="1" s="1" a="1"/>
  <c r="W29" i="1" s="1"/>
  <c r="R30" i="1"/>
  <c r="S30" i="1" s="1"/>
  <c r="W30" i="1" s="1" a="1"/>
  <c r="W30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R31" i="1" s="1"/>
  <c r="S31" i="1" s="1"/>
  <c r="W31" i="1" s="1" a="1"/>
  <c r="W31" i="1" s="1"/>
  <c r="Q32" i="1"/>
  <c r="R32" i="1" s="1"/>
  <c r="S32" i="1" s="1"/>
  <c r="W32" i="1" s="1" a="1"/>
  <c r="W32" i="1" s="1"/>
  <c r="Q33" i="1"/>
  <c r="R33" i="1" s="1"/>
  <c r="S33" i="1" s="1"/>
  <c r="W33" i="1" s="1" a="1"/>
  <c r="W33" i="1" s="1"/>
  <c r="Q34" i="1"/>
  <c r="R34" i="1" s="1"/>
  <c r="S34" i="1" s="1"/>
  <c r="W34" i="1" s="1" a="1"/>
  <c r="W34" i="1" s="1"/>
  <c r="Q35" i="1"/>
  <c r="R35" i="1" s="1"/>
  <c r="S35" i="1" s="1"/>
  <c r="W35" i="1" s="1" a="1"/>
  <c r="W35" i="1" s="1"/>
  <c r="Q36" i="1"/>
  <c r="R36" i="1" s="1"/>
  <c r="S36" i="1" s="1"/>
  <c r="W36" i="1" s="1" a="1"/>
  <c r="W36" i="1" s="1"/>
  <c r="Q37" i="1"/>
  <c r="R37" i="1" s="1"/>
  <c r="S37" i="1" s="1"/>
  <c r="W37" i="1" s="1" a="1"/>
  <c r="W37" i="1" s="1"/>
  <c r="Q38" i="1"/>
  <c r="R38" i="1" s="1"/>
  <c r="S38" i="1" s="1"/>
  <c r="W38" i="1" s="1" a="1"/>
  <c r="W38" i="1" s="1"/>
  <c r="Q39" i="1"/>
  <c r="R39" i="1" s="1"/>
  <c r="S39" i="1" s="1"/>
  <c r="W39" i="1" s="1" a="1"/>
  <c r="W39" i="1" s="1"/>
  <c r="Q40" i="1"/>
  <c r="R40" i="1" s="1"/>
  <c r="S40" i="1" s="1"/>
  <c r="W40" i="1" s="1" a="1"/>
  <c r="W40" i="1" s="1"/>
  <c r="Q41" i="1"/>
  <c r="R41" i="1" s="1"/>
  <c r="S41" i="1" s="1"/>
  <c r="W41" i="1" s="1" a="1"/>
  <c r="W41" i="1" s="1"/>
  <c r="Q42" i="1"/>
  <c r="R42" i="1" s="1"/>
  <c r="S42" i="1" s="1"/>
  <c r="W42" i="1" s="1" a="1"/>
  <c r="W42" i="1" s="1"/>
  <c r="Q43" i="1"/>
  <c r="R43" i="1" s="1"/>
  <c r="S43" i="1" s="1"/>
  <c r="W43" i="1" s="1" a="1"/>
  <c r="W43" i="1" s="1"/>
  <c r="Q44" i="1"/>
  <c r="R44" i="1" s="1"/>
  <c r="S44" i="1" s="1"/>
  <c r="W44" i="1" s="1" a="1"/>
  <c r="W44" i="1" s="1"/>
  <c r="Q45" i="1"/>
  <c r="R45" i="1" s="1"/>
  <c r="S45" i="1" s="1"/>
  <c r="W45" i="1" s="1" a="1"/>
  <c r="W45" i="1" s="1"/>
  <c r="Q46" i="1"/>
  <c r="R46" i="1" s="1"/>
  <c r="S46" i="1" s="1"/>
  <c r="W46" i="1" s="1" a="1"/>
  <c r="W46" i="1" s="1"/>
  <c r="Q47" i="1"/>
  <c r="R47" i="1" s="1"/>
  <c r="S47" i="1" s="1"/>
  <c r="W47" i="1" s="1" a="1"/>
  <c r="W47" i="1" s="1"/>
  <c r="Q48" i="1"/>
  <c r="R48" i="1" s="1"/>
  <c r="S48" i="1" s="1"/>
  <c r="W48" i="1" s="1" a="1"/>
  <c r="W48" i="1" s="1"/>
  <c r="Q49" i="1"/>
  <c r="R49" i="1" s="1"/>
  <c r="S49" i="1" s="1"/>
  <c r="W49" i="1" s="1" a="1"/>
  <c r="W49" i="1" s="1"/>
  <c r="Q50" i="1"/>
  <c r="R50" i="1" s="1"/>
  <c r="S50" i="1" s="1"/>
  <c r="W50" i="1" s="1" a="1"/>
  <c r="W50" i="1" s="1"/>
  <c r="Q51" i="1"/>
  <c r="R51" i="1" s="1"/>
  <c r="S51" i="1" s="1"/>
  <c r="W51" i="1" s="1" a="1"/>
  <c r="W51" i="1" s="1"/>
  <c r="Q52" i="1"/>
  <c r="R52" i="1" s="1"/>
  <c r="S52" i="1" s="1"/>
  <c r="W52" i="1" s="1" a="1"/>
  <c r="W52" i="1" s="1"/>
  <c r="Q53" i="1"/>
  <c r="R53" i="1" s="1"/>
  <c r="S53" i="1" s="1"/>
  <c r="W53" i="1" s="1" a="1"/>
  <c r="W53" i="1" s="1"/>
  <c r="Q54" i="1"/>
  <c r="R54" i="1" s="1"/>
  <c r="S54" i="1" s="1"/>
  <c r="W54" i="1" s="1" a="1"/>
  <c r="W54" i="1" s="1"/>
  <c r="Q55" i="1"/>
  <c r="R55" i="1" s="1"/>
  <c r="S55" i="1" s="1"/>
  <c r="W55" i="1" s="1" a="1"/>
  <c r="W55" i="1" s="1"/>
  <c r="Q56" i="1"/>
  <c r="R56" i="1" s="1"/>
  <c r="S56" i="1" s="1"/>
  <c r="W56" i="1" s="1" a="1"/>
  <c r="W56" i="1" s="1"/>
  <c r="Q57" i="1"/>
  <c r="R57" i="1" s="1"/>
  <c r="S57" i="1" s="1"/>
  <c r="W57" i="1" s="1" a="1"/>
  <c r="W57" i="1" s="1"/>
  <c r="Q58" i="1"/>
  <c r="R58" i="1" s="1"/>
  <c r="S58" i="1" s="1"/>
  <c r="W58" i="1" s="1" a="1"/>
  <c r="W58" i="1" s="1"/>
  <c r="Q59" i="1"/>
  <c r="R59" i="1" s="1"/>
  <c r="S59" i="1" s="1"/>
  <c r="W59" i="1" s="1" a="1"/>
  <c r="W59" i="1" s="1"/>
  <c r="Q60" i="1"/>
  <c r="R60" i="1" s="1"/>
  <c r="S60" i="1" s="1"/>
  <c r="W60" i="1" s="1" a="1"/>
  <c r="W60" i="1" s="1"/>
  <c r="Q61" i="1"/>
  <c r="R61" i="1" s="1"/>
  <c r="S61" i="1" s="1"/>
  <c r="W61" i="1" s="1" a="1"/>
  <c r="W61" i="1" s="1"/>
  <c r="Q62" i="1"/>
  <c r="R62" i="1" s="1"/>
  <c r="S62" i="1" s="1"/>
  <c r="W62" i="1" s="1" a="1"/>
  <c r="W62" i="1" s="1"/>
  <c r="Q63" i="1"/>
  <c r="R63" i="1" s="1"/>
  <c r="S63" i="1" s="1"/>
  <c r="W63" i="1" s="1" a="1"/>
  <c r="W63" i="1" s="1"/>
  <c r="Q64" i="1"/>
  <c r="R64" i="1" s="1"/>
  <c r="S64" i="1" s="1"/>
  <c r="W64" i="1" s="1" a="1"/>
  <c r="W64" i="1" s="1"/>
  <c r="Q65" i="1"/>
  <c r="R65" i="1" s="1"/>
  <c r="S65" i="1" s="1"/>
  <c r="W65" i="1" s="1" a="1"/>
  <c r="W65" i="1" s="1"/>
  <c r="Q66" i="1"/>
  <c r="R66" i="1" s="1"/>
  <c r="S66" i="1" s="1"/>
  <c r="W66" i="1" s="1" a="1"/>
  <c r="W66" i="1" s="1"/>
  <c r="Q67" i="1"/>
  <c r="R67" i="1" s="1"/>
  <c r="S67" i="1" s="1"/>
  <c r="W67" i="1" s="1" a="1"/>
  <c r="W67" i="1" s="1"/>
  <c r="Q68" i="1"/>
  <c r="R68" i="1" s="1"/>
  <c r="S68" i="1" s="1"/>
  <c r="W68" i="1" s="1" a="1"/>
  <c r="W68" i="1" s="1"/>
  <c r="Q69" i="1"/>
  <c r="R69" i="1" s="1"/>
  <c r="S69" i="1" s="1"/>
  <c r="W69" i="1" s="1" a="1"/>
  <c r="W69" i="1" s="1"/>
  <c r="Q70" i="1"/>
  <c r="R70" i="1" s="1"/>
  <c r="S70" i="1" s="1"/>
  <c r="W70" i="1" s="1" a="1"/>
  <c r="W70" i="1" s="1"/>
  <c r="Q71" i="1"/>
  <c r="R71" i="1" s="1"/>
  <c r="S71" i="1" s="1"/>
  <c r="W71" i="1" s="1" a="1"/>
  <c r="W71" i="1" s="1"/>
  <c r="Q72" i="1"/>
  <c r="R72" i="1" s="1"/>
  <c r="S72" i="1" s="1"/>
  <c r="W72" i="1" s="1" a="1"/>
  <c r="W72" i="1" s="1"/>
  <c r="Q73" i="1"/>
  <c r="R73" i="1" s="1"/>
  <c r="S73" i="1" s="1"/>
  <c r="W73" i="1" s="1" a="1"/>
  <c r="W73" i="1" s="1"/>
  <c r="Q74" i="1"/>
  <c r="R74" i="1" s="1"/>
  <c r="S74" i="1" s="1"/>
  <c r="W74" i="1" s="1" a="1"/>
  <c r="W74" i="1" s="1"/>
  <c r="Q75" i="1"/>
  <c r="R75" i="1" s="1"/>
  <c r="S75" i="1" s="1"/>
  <c r="W75" i="1" s="1" a="1"/>
  <c r="W75" i="1" s="1"/>
  <c r="Q76" i="1"/>
  <c r="R76" i="1" s="1"/>
  <c r="S76" i="1" s="1"/>
  <c r="W76" i="1" s="1" a="1"/>
  <c r="W76" i="1" s="1"/>
  <c r="Q77" i="1"/>
  <c r="R77" i="1" s="1"/>
  <c r="S77" i="1" s="1"/>
  <c r="W77" i="1" s="1" a="1"/>
  <c r="W77" i="1" s="1"/>
  <c r="Q78" i="1"/>
  <c r="R78" i="1" s="1"/>
  <c r="S78" i="1" s="1"/>
  <c r="W78" i="1" s="1" a="1"/>
  <c r="W78" i="1" s="1"/>
  <c r="Q79" i="1"/>
  <c r="R79" i="1" s="1"/>
  <c r="S79" i="1" s="1"/>
  <c r="W79" i="1" s="1" a="1"/>
  <c r="W79" i="1" s="1"/>
  <c r="Q80" i="1"/>
  <c r="R80" i="1" s="1"/>
  <c r="S80" i="1" s="1"/>
  <c r="W80" i="1" s="1" a="1"/>
  <c r="W80" i="1" s="1"/>
  <c r="Q81" i="1"/>
  <c r="R81" i="1" s="1"/>
  <c r="S81" i="1" s="1"/>
  <c r="W81" i="1" s="1" a="1"/>
  <c r="W81" i="1" s="1"/>
  <c r="Q82" i="1"/>
  <c r="R82" i="1" s="1"/>
  <c r="S82" i="1" s="1"/>
  <c r="W82" i="1" s="1" a="1"/>
  <c r="W82" i="1" s="1"/>
  <c r="Q83" i="1"/>
  <c r="R83" i="1" s="1"/>
  <c r="S83" i="1" s="1"/>
  <c r="W83" i="1" s="1" a="1"/>
  <c r="W83" i="1" s="1"/>
  <c r="Q84" i="1"/>
  <c r="R84" i="1" s="1"/>
  <c r="S84" i="1" s="1"/>
  <c r="W84" i="1" s="1" a="1"/>
  <c r="W84" i="1" s="1"/>
  <c r="Q85" i="1"/>
  <c r="R85" i="1" s="1"/>
  <c r="S85" i="1" s="1"/>
  <c r="W85" i="1" s="1" a="1"/>
  <c r="W85" i="1" s="1"/>
  <c r="Q86" i="1"/>
  <c r="R86" i="1" s="1"/>
  <c r="S86" i="1" s="1"/>
  <c r="W86" i="1" s="1" a="1"/>
  <c r="W86" i="1" s="1"/>
  <c r="Q87" i="1"/>
  <c r="R87" i="1" s="1"/>
  <c r="S87" i="1" s="1"/>
  <c r="W87" i="1" s="1" a="1"/>
  <c r="W87" i="1" s="1"/>
  <c r="Q88" i="1"/>
  <c r="R88" i="1" s="1"/>
  <c r="S88" i="1" s="1"/>
  <c r="W88" i="1" s="1" a="1"/>
  <c r="W88" i="1" s="1"/>
  <c r="Q89" i="1"/>
  <c r="R89" i="1" s="1"/>
  <c r="S89" i="1" s="1"/>
  <c r="W89" i="1" s="1" a="1"/>
  <c r="W89" i="1" s="1"/>
  <c r="Q90" i="1"/>
  <c r="R90" i="1" s="1"/>
  <c r="S90" i="1" s="1"/>
  <c r="W90" i="1" s="1" a="1"/>
  <c r="W90" i="1" s="1"/>
  <c r="Q91" i="1"/>
  <c r="R91" i="1" s="1"/>
  <c r="S91" i="1" s="1"/>
  <c r="W91" i="1" s="1" a="1"/>
  <c r="W91" i="1" s="1"/>
  <c r="Q92" i="1"/>
  <c r="R92" i="1" s="1"/>
  <c r="S92" i="1" s="1"/>
  <c r="W92" i="1" s="1" a="1"/>
  <c r="W92" i="1" s="1"/>
  <c r="Q93" i="1"/>
  <c r="R93" i="1" s="1"/>
  <c r="S93" i="1" s="1"/>
  <c r="W93" i="1" s="1" a="1"/>
  <c r="W93" i="1" s="1"/>
  <c r="Q94" i="1"/>
  <c r="R94" i="1" s="1"/>
  <c r="S94" i="1" s="1"/>
  <c r="W94" i="1" s="1" a="1"/>
  <c r="W94" i="1" s="1"/>
  <c r="Q95" i="1"/>
  <c r="R95" i="1" s="1"/>
  <c r="S95" i="1" s="1"/>
  <c r="W95" i="1" s="1" a="1"/>
  <c r="W95" i="1" s="1"/>
  <c r="Q96" i="1"/>
  <c r="R96" i="1" s="1"/>
  <c r="S96" i="1" s="1"/>
  <c r="W96" i="1" s="1" a="1"/>
  <c r="W96" i="1" s="1"/>
  <c r="Q97" i="1"/>
  <c r="R97" i="1" s="1"/>
  <c r="S97" i="1" s="1"/>
  <c r="W97" i="1" s="1" a="1"/>
  <c r="W97" i="1" s="1"/>
  <c r="Q98" i="1"/>
  <c r="R98" i="1" s="1"/>
  <c r="S98" i="1" s="1"/>
  <c r="W98" i="1" s="1" a="1"/>
  <c r="W98" i="1" s="1"/>
  <c r="Q99" i="1"/>
  <c r="R99" i="1" s="1"/>
  <c r="S99" i="1" s="1"/>
  <c r="W99" i="1" s="1" a="1"/>
  <c r="W99" i="1" s="1"/>
  <c r="Q100" i="1"/>
  <c r="R100" i="1" s="1"/>
  <c r="S100" i="1" s="1"/>
  <c r="W100" i="1" s="1" a="1"/>
  <c r="W100" i="1" s="1"/>
  <c r="Q101" i="1"/>
  <c r="R101" i="1" s="1"/>
  <c r="S101" i="1" s="1"/>
  <c r="W101" i="1" s="1" a="1"/>
  <c r="W101" i="1" s="1"/>
  <c r="Q102" i="1"/>
  <c r="R102" i="1" s="1"/>
  <c r="S102" i="1" s="1"/>
  <c r="W102" i="1" s="1" a="1"/>
  <c r="W102" i="1" s="1"/>
  <c r="Q103" i="1"/>
  <c r="R103" i="1" s="1"/>
  <c r="S103" i="1" s="1"/>
  <c r="W103" i="1" s="1" a="1"/>
  <c r="W103" i="1" s="1"/>
  <c r="Q104" i="1"/>
  <c r="R104" i="1" s="1"/>
  <c r="S104" i="1" s="1"/>
  <c r="W104" i="1" s="1" a="1"/>
  <c r="W104" i="1" s="1"/>
  <c r="Q105" i="1"/>
  <c r="R105" i="1" s="1"/>
  <c r="S105" i="1" s="1"/>
  <c r="W105" i="1" s="1" a="1"/>
  <c r="W105" i="1" s="1"/>
  <c r="Q106" i="1"/>
  <c r="R106" i="1" s="1"/>
  <c r="S106" i="1" s="1"/>
  <c r="W106" i="1" s="1" a="1"/>
  <c r="W106" i="1" s="1"/>
  <c r="Q107" i="1"/>
  <c r="R107" i="1" s="1"/>
  <c r="S107" i="1" s="1"/>
  <c r="W107" i="1" s="1" a="1"/>
  <c r="W107" i="1" s="1"/>
  <c r="Q108" i="1"/>
  <c r="R108" i="1" s="1"/>
  <c r="S108" i="1" s="1"/>
  <c r="W108" i="1" s="1" a="1"/>
  <c r="W108" i="1" s="1"/>
  <c r="Q109" i="1"/>
  <c r="R109" i="1" s="1"/>
  <c r="S109" i="1" s="1"/>
  <c r="W109" i="1" s="1" a="1"/>
  <c r="W109" i="1" s="1"/>
  <c r="Q110" i="1"/>
  <c r="R110" i="1" s="1"/>
  <c r="S110" i="1" s="1"/>
  <c r="W110" i="1" s="1" a="1"/>
  <c r="W110" i="1" s="1"/>
  <c r="Q111" i="1"/>
  <c r="R111" i="1" s="1"/>
  <c r="S111" i="1" s="1"/>
  <c r="W111" i="1" s="1" a="1"/>
  <c r="W111" i="1" s="1"/>
  <c r="Q112" i="1"/>
  <c r="R112" i="1" s="1"/>
  <c r="S112" i="1" s="1"/>
  <c r="W112" i="1" s="1" a="1"/>
  <c r="W112" i="1" s="1"/>
  <c r="Q113" i="1"/>
  <c r="R113" i="1" s="1"/>
  <c r="S113" i="1" s="1"/>
  <c r="W113" i="1" s="1" a="1"/>
  <c r="W113" i="1" s="1"/>
  <c r="Q114" i="1"/>
  <c r="R114" i="1" s="1"/>
  <c r="S114" i="1" s="1"/>
  <c r="W114" i="1" s="1" a="1"/>
  <c r="W114" i="1" s="1"/>
  <c r="Q115" i="1"/>
  <c r="R115" i="1" s="1"/>
  <c r="S115" i="1" s="1"/>
  <c r="W115" i="1" s="1" a="1"/>
  <c r="W115" i="1" s="1"/>
  <c r="Q116" i="1"/>
  <c r="R116" i="1" s="1"/>
  <c r="S116" i="1" s="1"/>
  <c r="W116" i="1" s="1" a="1"/>
  <c r="W116" i="1" s="1"/>
  <c r="Q117" i="1"/>
  <c r="R117" i="1" s="1"/>
  <c r="S117" i="1" s="1"/>
  <c r="W117" i="1" s="1" a="1"/>
  <c r="W117" i="1" s="1"/>
  <c r="Q118" i="1"/>
  <c r="R118" i="1" s="1"/>
  <c r="S118" i="1" s="1"/>
  <c r="W118" i="1" s="1" a="1"/>
  <c r="W118" i="1" s="1"/>
  <c r="Q119" i="1"/>
  <c r="R119" i="1" s="1"/>
  <c r="S119" i="1" s="1"/>
  <c r="W119" i="1" s="1" a="1"/>
  <c r="W119" i="1" s="1"/>
  <c r="Q120" i="1"/>
  <c r="R120" i="1" s="1"/>
  <c r="S120" i="1" s="1"/>
  <c r="W120" i="1" s="1" a="1"/>
  <c r="W120" i="1" s="1"/>
  <c r="Q121" i="1"/>
  <c r="R121" i="1" s="1"/>
  <c r="S121" i="1" s="1"/>
  <c r="W121" i="1" s="1" a="1"/>
  <c r="W121" i="1" s="1"/>
  <c r="Q122" i="1"/>
  <c r="R122" i="1" s="1"/>
  <c r="S122" i="1" s="1"/>
  <c r="W122" i="1" s="1" a="1"/>
  <c r="W122" i="1" s="1"/>
  <c r="Q123" i="1"/>
  <c r="R123" i="1" s="1"/>
  <c r="S123" i="1" s="1"/>
  <c r="W123" i="1" s="1" a="1"/>
  <c r="W123" i="1" s="1"/>
  <c r="Q124" i="1"/>
  <c r="R124" i="1" s="1"/>
  <c r="S124" i="1" s="1"/>
  <c r="W124" i="1" s="1" a="1"/>
  <c r="W124" i="1" s="1"/>
  <c r="Q125" i="1"/>
  <c r="R125" i="1" s="1"/>
  <c r="S125" i="1" s="1"/>
  <c r="W125" i="1" s="1" a="1"/>
  <c r="W125" i="1" s="1"/>
  <c r="Q126" i="1"/>
  <c r="R126" i="1" s="1"/>
  <c r="S126" i="1" s="1"/>
  <c r="W126" i="1" s="1" a="1"/>
  <c r="W126" i="1" s="1"/>
  <c r="Q127" i="1"/>
  <c r="R127" i="1" s="1"/>
  <c r="S127" i="1" s="1"/>
  <c r="W127" i="1" s="1" a="1"/>
  <c r="W127" i="1" s="1"/>
  <c r="Q128" i="1"/>
  <c r="R128" i="1" s="1"/>
  <c r="S128" i="1" s="1"/>
  <c r="W128" i="1" s="1" a="1"/>
  <c r="W128" i="1" s="1"/>
  <c r="Q129" i="1"/>
  <c r="R129" i="1" s="1"/>
  <c r="S129" i="1" s="1"/>
  <c r="W129" i="1" s="1" a="1"/>
  <c r="W129" i="1" s="1"/>
  <c r="Q130" i="1"/>
  <c r="R130" i="1" s="1"/>
  <c r="S130" i="1" s="1"/>
  <c r="W130" i="1" s="1" a="1"/>
  <c r="W130" i="1" s="1"/>
  <c r="Q131" i="1"/>
  <c r="R131" i="1" s="1"/>
  <c r="S131" i="1" s="1"/>
  <c r="W131" i="1" s="1" a="1"/>
  <c r="W131" i="1" s="1"/>
  <c r="Q132" i="1"/>
  <c r="R132" i="1" s="1"/>
  <c r="S132" i="1" s="1"/>
  <c r="W132" i="1" s="1" a="1"/>
  <c r="W132" i="1" s="1"/>
  <c r="Q133" i="1"/>
  <c r="R133" i="1" s="1"/>
  <c r="S133" i="1" s="1"/>
  <c r="W133" i="1" s="1" a="1"/>
  <c r="W133" i="1" s="1"/>
  <c r="Q134" i="1"/>
  <c r="R134" i="1" s="1"/>
  <c r="S134" i="1" s="1"/>
  <c r="W134" i="1" s="1" a="1"/>
  <c r="W134" i="1" s="1"/>
  <c r="Q135" i="1"/>
  <c r="R135" i="1" s="1"/>
  <c r="S135" i="1" s="1"/>
  <c r="W135" i="1" s="1" a="1"/>
  <c r="W135" i="1" s="1"/>
  <c r="Q136" i="1"/>
  <c r="R136" i="1" s="1"/>
  <c r="S136" i="1" s="1"/>
  <c r="W136" i="1" s="1" a="1"/>
  <c r="W136" i="1" s="1"/>
  <c r="Q137" i="1"/>
  <c r="R137" i="1" s="1"/>
  <c r="S137" i="1" s="1"/>
  <c r="W137" i="1" s="1" a="1"/>
  <c r="W137" i="1" s="1"/>
  <c r="Q138" i="1"/>
  <c r="R138" i="1" s="1"/>
  <c r="S138" i="1" s="1"/>
  <c r="W138" i="1" s="1" a="1"/>
  <c r="W138" i="1" s="1"/>
  <c r="Q139" i="1"/>
  <c r="R139" i="1" s="1"/>
  <c r="S139" i="1" s="1"/>
  <c r="W139" i="1" s="1" a="1"/>
  <c r="W139" i="1" s="1"/>
  <c r="Q140" i="1"/>
  <c r="R140" i="1" s="1"/>
  <c r="S140" i="1" s="1"/>
  <c r="W140" i="1" s="1" a="1"/>
  <c r="W140" i="1" s="1"/>
  <c r="Q141" i="1"/>
  <c r="R141" i="1" s="1"/>
  <c r="S141" i="1" s="1"/>
  <c r="W141" i="1" s="1" a="1"/>
  <c r="W141" i="1" s="1"/>
  <c r="Q142" i="1"/>
  <c r="R142" i="1" s="1"/>
  <c r="S142" i="1" s="1"/>
  <c r="W142" i="1" s="1" a="1"/>
  <c r="W142" i="1" s="1"/>
  <c r="Q143" i="1"/>
  <c r="R143" i="1" s="1"/>
  <c r="S143" i="1" s="1"/>
  <c r="W143" i="1" s="1" a="1"/>
  <c r="W143" i="1" s="1"/>
  <c r="Q144" i="1"/>
  <c r="R144" i="1" s="1"/>
  <c r="S144" i="1" s="1"/>
  <c r="W144" i="1" s="1" a="1"/>
  <c r="W144" i="1" s="1"/>
  <c r="Q145" i="1"/>
  <c r="R145" i="1" s="1"/>
  <c r="S145" i="1" s="1"/>
  <c r="W145" i="1" s="1" a="1"/>
  <c r="W145" i="1" s="1"/>
  <c r="Q146" i="1"/>
  <c r="R146" i="1" s="1"/>
  <c r="S146" i="1" s="1"/>
  <c r="W146" i="1" s="1" a="1"/>
  <c r="W146" i="1" s="1"/>
  <c r="Q147" i="1"/>
  <c r="R147" i="1" s="1"/>
  <c r="S147" i="1" s="1"/>
  <c r="W147" i="1" s="1" a="1"/>
  <c r="W147" i="1" s="1"/>
  <c r="Q148" i="1"/>
  <c r="R148" i="1" s="1"/>
  <c r="S148" i="1" s="1"/>
  <c r="W148" i="1" s="1" a="1"/>
  <c r="W148" i="1" s="1"/>
  <c r="Q149" i="1"/>
  <c r="R149" i="1" s="1"/>
  <c r="S149" i="1" s="1"/>
  <c r="W149" i="1" s="1" a="1"/>
  <c r="W149" i="1" s="1"/>
  <c r="Q150" i="1"/>
  <c r="R150" i="1" s="1"/>
  <c r="S150" i="1" s="1"/>
  <c r="W150" i="1" s="1" a="1"/>
  <c r="W150" i="1" s="1"/>
  <c r="Q151" i="1"/>
  <c r="R151" i="1" s="1"/>
  <c r="S151" i="1" s="1"/>
  <c r="W151" i="1" s="1" a="1"/>
  <c r="W151" i="1" s="1"/>
  <c r="Q152" i="1"/>
  <c r="R152" i="1" s="1"/>
  <c r="S152" i="1" s="1"/>
  <c r="W152" i="1" s="1" a="1"/>
  <c r="W152" i="1" s="1"/>
  <c r="Q153" i="1"/>
  <c r="R153" i="1" s="1"/>
  <c r="S153" i="1" s="1"/>
  <c r="W153" i="1" s="1" a="1"/>
  <c r="W153" i="1" s="1"/>
  <c r="Q154" i="1"/>
  <c r="R154" i="1" s="1"/>
  <c r="S154" i="1" s="1"/>
  <c r="W154" i="1" s="1" a="1"/>
  <c r="W154" i="1" s="1"/>
  <c r="Q155" i="1"/>
  <c r="R155" i="1" s="1"/>
  <c r="S155" i="1" s="1"/>
  <c r="W155" i="1" s="1" a="1"/>
  <c r="W155" i="1" s="1"/>
  <c r="Q156" i="1"/>
  <c r="R156" i="1" s="1"/>
  <c r="S156" i="1" s="1"/>
  <c r="W156" i="1" s="1" a="1"/>
  <c r="W156" i="1" s="1"/>
  <c r="Q157" i="1"/>
  <c r="R157" i="1" s="1"/>
  <c r="S157" i="1" s="1"/>
  <c r="W157" i="1" s="1" a="1"/>
  <c r="W157" i="1" s="1"/>
  <c r="Q158" i="1"/>
  <c r="R158" i="1" s="1"/>
  <c r="S158" i="1" s="1"/>
  <c r="W158" i="1" s="1" a="1"/>
  <c r="W158" i="1" s="1"/>
  <c r="Q159" i="1"/>
  <c r="R159" i="1" s="1"/>
  <c r="S159" i="1" s="1"/>
  <c r="W159" i="1" s="1" a="1"/>
  <c r="W159" i="1" s="1"/>
  <c r="Q160" i="1"/>
  <c r="R160" i="1" s="1"/>
  <c r="S160" i="1" s="1"/>
  <c r="W160" i="1" s="1" a="1"/>
  <c r="W160" i="1" s="1"/>
  <c r="Q161" i="1"/>
  <c r="R161" i="1" s="1"/>
  <c r="S161" i="1" s="1"/>
  <c r="W161" i="1" s="1" a="1"/>
  <c r="W161" i="1" s="1"/>
  <c r="Q162" i="1"/>
  <c r="R162" i="1" s="1"/>
  <c r="S162" i="1" s="1"/>
  <c r="W162" i="1" s="1" a="1"/>
  <c r="W162" i="1" s="1"/>
  <c r="Q163" i="1"/>
  <c r="R163" i="1" s="1"/>
  <c r="S163" i="1" s="1"/>
  <c r="W163" i="1" s="1" a="1"/>
  <c r="W163" i="1" s="1"/>
  <c r="Q164" i="1"/>
  <c r="R164" i="1" s="1"/>
  <c r="S164" i="1" s="1"/>
  <c r="W164" i="1" s="1" a="1"/>
  <c r="W164" i="1" s="1"/>
  <c r="Q165" i="1"/>
  <c r="R165" i="1" s="1"/>
  <c r="S165" i="1" s="1"/>
  <c r="W165" i="1" s="1" a="1"/>
  <c r="W165" i="1" s="1"/>
  <c r="Q166" i="1"/>
  <c r="R166" i="1" s="1"/>
  <c r="S166" i="1" s="1"/>
  <c r="W166" i="1" s="1" a="1"/>
  <c r="W166" i="1" s="1"/>
  <c r="Q167" i="1"/>
  <c r="R167" i="1" s="1"/>
  <c r="S167" i="1" s="1"/>
  <c r="W167" i="1" s="1" a="1"/>
  <c r="W167" i="1" s="1"/>
  <c r="Q168" i="1"/>
  <c r="R168" i="1" s="1"/>
  <c r="S168" i="1" s="1"/>
  <c r="W168" i="1" s="1" a="1"/>
  <c r="W168" i="1" s="1"/>
  <c r="Q169" i="1"/>
  <c r="R169" i="1" s="1"/>
  <c r="S169" i="1" s="1"/>
  <c r="W169" i="1" s="1" a="1"/>
  <c r="W169" i="1" s="1"/>
  <c r="Q170" i="1"/>
  <c r="R170" i="1" s="1"/>
  <c r="S170" i="1" s="1"/>
  <c r="W170" i="1" s="1" a="1"/>
  <c r="W170" i="1" s="1"/>
  <c r="Q171" i="1"/>
  <c r="R171" i="1" s="1"/>
  <c r="S171" i="1" s="1"/>
  <c r="W171" i="1" s="1" a="1"/>
  <c r="W171" i="1" s="1"/>
  <c r="Q172" i="1"/>
  <c r="R172" i="1" s="1"/>
  <c r="S172" i="1" s="1"/>
  <c r="W172" i="1" s="1" a="1"/>
  <c r="W172" i="1" s="1"/>
  <c r="Q173" i="1"/>
  <c r="R173" i="1" s="1"/>
  <c r="S173" i="1" s="1"/>
  <c r="W173" i="1" s="1" a="1"/>
  <c r="W173" i="1" s="1"/>
  <c r="Q174" i="1"/>
  <c r="R174" i="1" s="1"/>
  <c r="S174" i="1" s="1"/>
  <c r="W174" i="1" s="1" a="1"/>
  <c r="W174" i="1" s="1"/>
  <c r="Q175" i="1"/>
  <c r="R175" i="1" s="1"/>
  <c r="S175" i="1" s="1"/>
  <c r="W175" i="1" s="1" a="1"/>
  <c r="W175" i="1" s="1"/>
  <c r="Q176" i="1"/>
  <c r="R176" i="1" s="1"/>
  <c r="S176" i="1" s="1"/>
  <c r="W176" i="1" s="1" a="1"/>
  <c r="W176" i="1" s="1"/>
  <c r="Q177" i="1"/>
  <c r="R177" i="1" s="1"/>
  <c r="S177" i="1" s="1"/>
  <c r="W177" i="1" s="1" a="1"/>
  <c r="W177" i="1" s="1"/>
  <c r="Q178" i="1"/>
  <c r="R178" i="1" s="1"/>
  <c r="S178" i="1" s="1"/>
  <c r="W178" i="1" s="1" a="1"/>
  <c r="W178" i="1" s="1"/>
  <c r="Q179" i="1"/>
  <c r="R179" i="1" s="1"/>
  <c r="S179" i="1" s="1"/>
  <c r="W179" i="1" s="1" a="1"/>
  <c r="W179" i="1" s="1"/>
  <c r="Q180" i="1"/>
  <c r="R180" i="1" s="1"/>
  <c r="S180" i="1" s="1"/>
  <c r="W180" i="1" s="1" a="1"/>
  <c r="W180" i="1" s="1"/>
  <c r="Q181" i="1"/>
  <c r="R181" i="1" s="1"/>
  <c r="S181" i="1" s="1"/>
  <c r="W181" i="1" s="1" a="1"/>
  <c r="W181" i="1" s="1"/>
  <c r="Q182" i="1"/>
  <c r="R182" i="1" s="1"/>
  <c r="S182" i="1" s="1"/>
  <c r="W182" i="1" s="1" a="1"/>
  <c r="W182" i="1" s="1"/>
  <c r="Q183" i="1"/>
  <c r="R183" i="1" s="1"/>
  <c r="S183" i="1" s="1"/>
  <c r="W183" i="1" s="1" a="1"/>
  <c r="W183" i="1" s="1"/>
  <c r="Q184" i="1"/>
  <c r="R184" i="1" s="1"/>
  <c r="S184" i="1" s="1"/>
  <c r="W184" i="1" s="1" a="1"/>
  <c r="W184" i="1" s="1"/>
  <c r="Q185" i="1"/>
  <c r="R185" i="1" s="1"/>
  <c r="S185" i="1" s="1"/>
  <c r="W185" i="1" s="1" a="1"/>
  <c r="W185" i="1" s="1"/>
  <c r="Q186" i="1"/>
  <c r="R186" i="1" s="1"/>
  <c r="S186" i="1" s="1"/>
  <c r="W186" i="1" s="1" a="1"/>
  <c r="W186" i="1" s="1"/>
  <c r="Q187" i="1"/>
  <c r="R187" i="1" s="1"/>
  <c r="S187" i="1" s="1"/>
  <c r="W187" i="1" s="1" a="1"/>
  <c r="W187" i="1" s="1"/>
  <c r="Q188" i="1"/>
  <c r="R188" i="1" s="1"/>
  <c r="S188" i="1" s="1"/>
  <c r="W188" i="1" s="1" a="1"/>
  <c r="W188" i="1" s="1"/>
  <c r="Q189" i="1"/>
  <c r="R189" i="1" s="1"/>
  <c r="S189" i="1" s="1"/>
  <c r="W189" i="1" s="1" a="1"/>
  <c r="W189" i="1" s="1"/>
  <c r="Q190" i="1"/>
  <c r="R190" i="1" s="1"/>
  <c r="S190" i="1" s="1"/>
  <c r="W190" i="1" s="1" a="1"/>
  <c r="W190" i="1" s="1"/>
  <c r="Q191" i="1"/>
  <c r="R191" i="1" s="1"/>
  <c r="S191" i="1" s="1"/>
  <c r="W191" i="1" s="1" a="1"/>
  <c r="W191" i="1" s="1"/>
  <c r="Q192" i="1"/>
  <c r="R192" i="1" s="1"/>
  <c r="S192" i="1" s="1"/>
  <c r="W192" i="1" s="1" a="1"/>
  <c r="W192" i="1" s="1"/>
  <c r="Q193" i="1"/>
  <c r="R193" i="1" s="1"/>
  <c r="S193" i="1" s="1"/>
  <c r="W193" i="1" s="1" a="1"/>
  <c r="W193" i="1" s="1"/>
  <c r="Q194" i="1"/>
  <c r="R194" i="1" s="1"/>
  <c r="S194" i="1" s="1"/>
  <c r="W194" i="1" s="1" a="1"/>
  <c r="W194" i="1" s="1"/>
  <c r="Q195" i="1"/>
  <c r="R195" i="1" s="1"/>
  <c r="S195" i="1" s="1"/>
  <c r="W195" i="1" s="1" a="1"/>
  <c r="W195" i="1" s="1"/>
  <c r="Q196" i="1"/>
  <c r="R196" i="1" s="1"/>
  <c r="S196" i="1" s="1"/>
  <c r="W196" i="1" s="1" a="1"/>
  <c r="W196" i="1" s="1"/>
  <c r="Q197" i="1"/>
  <c r="R197" i="1" s="1"/>
  <c r="S197" i="1" s="1"/>
  <c r="W197" i="1" s="1" a="1"/>
  <c r="W197" i="1" s="1"/>
  <c r="Q198" i="1"/>
  <c r="R198" i="1" s="1"/>
  <c r="S198" i="1" s="1"/>
  <c r="W198" i="1" s="1" a="1"/>
  <c r="W198" i="1" s="1"/>
  <c r="Q199" i="1"/>
  <c r="R199" i="1" s="1"/>
  <c r="S199" i="1" s="1"/>
  <c r="W199" i="1" s="1" a="1"/>
  <c r="W199" i="1" s="1"/>
  <c r="Q200" i="1"/>
  <c r="R200" i="1" s="1"/>
  <c r="S200" i="1" s="1"/>
  <c r="W200" i="1" s="1" a="1"/>
  <c r="W200" i="1" s="1"/>
  <c r="Q201" i="1"/>
  <c r="R201" i="1" s="1"/>
  <c r="S201" i="1" s="1"/>
  <c r="W201" i="1" s="1" a="1"/>
  <c r="W201" i="1" s="1"/>
  <c r="Q202" i="1"/>
  <c r="R202" i="1" s="1"/>
  <c r="S202" i="1" s="1"/>
  <c r="W202" i="1" s="1" a="1"/>
  <c r="W202" i="1" s="1"/>
  <c r="Q203" i="1"/>
  <c r="R203" i="1" s="1"/>
  <c r="S203" i="1" s="1"/>
  <c r="W203" i="1" s="1" a="1"/>
  <c r="W203" i="1" s="1"/>
  <c r="Q204" i="1"/>
  <c r="R204" i="1" s="1"/>
  <c r="S204" i="1" s="1"/>
  <c r="W204" i="1" s="1" a="1"/>
  <c r="W204" i="1" s="1"/>
  <c r="Q205" i="1"/>
  <c r="R205" i="1" s="1"/>
  <c r="S205" i="1" s="1"/>
  <c r="W205" i="1" s="1" a="1"/>
  <c r="W205" i="1" s="1"/>
  <c r="Q206" i="1"/>
  <c r="R206" i="1" s="1"/>
  <c r="S206" i="1" s="1"/>
  <c r="W206" i="1" s="1" a="1"/>
  <c r="W206" i="1" s="1"/>
  <c r="Q207" i="1"/>
  <c r="R207" i="1" s="1"/>
  <c r="S207" i="1" s="1"/>
  <c r="W207" i="1" s="1" a="1"/>
  <c r="W207" i="1" s="1"/>
  <c r="Q208" i="1"/>
  <c r="R208" i="1" s="1"/>
  <c r="S208" i="1" s="1"/>
  <c r="W208" i="1" s="1" a="1"/>
  <c r="W208" i="1" s="1"/>
  <c r="Q209" i="1"/>
  <c r="R209" i="1" s="1"/>
  <c r="S209" i="1" s="1"/>
  <c r="W209" i="1" s="1" a="1"/>
  <c r="W209" i="1" s="1"/>
  <c r="Q210" i="1"/>
  <c r="R210" i="1" s="1"/>
  <c r="S210" i="1" s="1"/>
  <c r="W210" i="1" s="1" a="1"/>
  <c r="W210" i="1" s="1"/>
  <c r="Q211" i="1"/>
  <c r="R211" i="1" s="1"/>
  <c r="S211" i="1" s="1"/>
  <c r="W211" i="1" s="1" a="1"/>
  <c r="W211" i="1" s="1"/>
  <c r="Q212" i="1"/>
  <c r="R212" i="1" s="1"/>
  <c r="S212" i="1" s="1"/>
  <c r="W212" i="1" s="1" a="1"/>
  <c r="W212" i="1" s="1"/>
  <c r="Q213" i="1"/>
  <c r="R213" i="1" s="1"/>
  <c r="S213" i="1" s="1"/>
  <c r="W213" i="1" s="1" a="1"/>
  <c r="W213" i="1" s="1"/>
  <c r="Q214" i="1"/>
  <c r="R214" i="1" s="1"/>
  <c r="S214" i="1" s="1"/>
  <c r="W214" i="1" s="1" a="1"/>
  <c r="W214" i="1" s="1"/>
  <c r="Q215" i="1"/>
  <c r="R215" i="1" s="1"/>
  <c r="S215" i="1" s="1"/>
  <c r="W215" i="1" s="1" a="1"/>
  <c r="W215" i="1" s="1"/>
  <c r="Q216" i="1"/>
  <c r="R216" i="1" s="1"/>
  <c r="S216" i="1" s="1"/>
  <c r="W216" i="1" s="1" a="1"/>
  <c r="W216" i="1" s="1"/>
  <c r="Q217" i="1"/>
  <c r="R217" i="1" s="1"/>
  <c r="S217" i="1" s="1"/>
  <c r="W217" i="1" s="1" a="1"/>
  <c r="W217" i="1" s="1"/>
  <c r="Q218" i="1"/>
  <c r="R218" i="1" s="1"/>
  <c r="S218" i="1" s="1"/>
  <c r="W218" i="1" s="1" a="1"/>
  <c r="W218" i="1" s="1"/>
  <c r="Q219" i="1"/>
  <c r="R219" i="1" s="1"/>
  <c r="S219" i="1" s="1"/>
  <c r="W219" i="1" s="1" a="1"/>
  <c r="W219" i="1" s="1"/>
  <c r="Q220" i="1"/>
  <c r="R220" i="1" s="1"/>
  <c r="S220" i="1" s="1"/>
  <c r="W220" i="1" s="1" a="1"/>
  <c r="W220" i="1" s="1"/>
  <c r="Q221" i="1"/>
  <c r="R221" i="1" s="1"/>
  <c r="S221" i="1" s="1"/>
  <c r="W221" i="1" s="1" a="1"/>
  <c r="W221" i="1" s="1"/>
  <c r="Q222" i="1"/>
  <c r="R222" i="1" s="1"/>
  <c r="S222" i="1" s="1"/>
  <c r="W222" i="1" s="1" a="1"/>
  <c r="W222" i="1" s="1"/>
  <c r="Q223" i="1"/>
  <c r="R223" i="1" s="1"/>
  <c r="S223" i="1" s="1"/>
  <c r="W223" i="1" s="1" a="1"/>
  <c r="W223" i="1" s="1"/>
  <c r="Q224" i="1"/>
  <c r="R224" i="1" s="1"/>
  <c r="S224" i="1" s="1"/>
  <c r="W224" i="1" s="1" a="1"/>
  <c r="W224" i="1" s="1"/>
  <c r="Q225" i="1"/>
  <c r="R225" i="1" s="1"/>
  <c r="S225" i="1" s="1"/>
  <c r="W225" i="1" s="1" a="1"/>
  <c r="W225" i="1" s="1"/>
  <c r="Q226" i="1"/>
  <c r="R226" i="1" s="1"/>
  <c r="S226" i="1" s="1"/>
  <c r="W226" i="1" s="1" a="1"/>
  <c r="W226" i="1" s="1"/>
  <c r="Q227" i="1"/>
  <c r="R227" i="1" s="1"/>
  <c r="S227" i="1" s="1"/>
  <c r="W227" i="1" s="1" a="1"/>
  <c r="W227" i="1" s="1"/>
  <c r="Q228" i="1"/>
  <c r="R228" i="1" s="1"/>
  <c r="S228" i="1" s="1"/>
  <c r="W228" i="1" s="1" a="1"/>
  <c r="W228" i="1" s="1"/>
  <c r="Q229" i="1"/>
  <c r="R229" i="1" s="1"/>
  <c r="S229" i="1" s="1"/>
  <c r="W229" i="1" s="1" a="1"/>
  <c r="W229" i="1" s="1"/>
  <c r="Q230" i="1"/>
  <c r="R230" i="1" s="1"/>
  <c r="S230" i="1" s="1"/>
  <c r="W230" i="1" s="1" a="1"/>
  <c r="W230" i="1" s="1"/>
  <c r="Q231" i="1"/>
  <c r="R231" i="1" s="1"/>
  <c r="S231" i="1" s="1"/>
  <c r="W231" i="1" s="1" a="1"/>
  <c r="W231" i="1" s="1"/>
  <c r="Q232" i="1"/>
  <c r="R232" i="1" s="1"/>
  <c r="S232" i="1" s="1"/>
  <c r="W232" i="1" s="1" a="1"/>
  <c r="W232" i="1" s="1"/>
  <c r="Q233" i="1"/>
  <c r="R233" i="1" s="1"/>
  <c r="S233" i="1" s="1"/>
  <c r="W233" i="1" s="1" a="1"/>
  <c r="W233" i="1" s="1"/>
  <c r="Q234" i="1"/>
  <c r="R234" i="1" s="1"/>
  <c r="S234" i="1" s="1"/>
  <c r="W234" i="1" s="1" a="1"/>
  <c r="W234" i="1" s="1"/>
  <c r="Q235" i="1"/>
  <c r="R235" i="1" s="1"/>
  <c r="S235" i="1" s="1"/>
  <c r="W235" i="1" s="1" a="1"/>
  <c r="W235" i="1" s="1"/>
  <c r="Q236" i="1"/>
  <c r="R236" i="1" s="1"/>
  <c r="S236" i="1" s="1"/>
  <c r="W236" i="1" s="1" a="1"/>
  <c r="W236" i="1" s="1"/>
  <c r="Q237" i="1"/>
  <c r="R237" i="1" s="1"/>
  <c r="S237" i="1" s="1"/>
  <c r="W237" i="1" s="1" a="1"/>
  <c r="W237" i="1" s="1"/>
  <c r="Q238" i="1"/>
  <c r="R238" i="1" s="1"/>
  <c r="S238" i="1" s="1"/>
  <c r="W238" i="1" s="1" a="1"/>
  <c r="W238" i="1" s="1"/>
  <c r="Q239" i="1"/>
  <c r="R239" i="1" s="1"/>
  <c r="S239" i="1" s="1"/>
  <c r="W239" i="1" s="1" a="1"/>
  <c r="W239" i="1" s="1"/>
  <c r="Q240" i="1"/>
  <c r="R240" i="1" s="1"/>
  <c r="S240" i="1" s="1"/>
  <c r="W240" i="1" s="1" a="1"/>
  <c r="W240" i="1" s="1"/>
  <c r="Q241" i="1"/>
  <c r="R241" i="1" s="1"/>
  <c r="S241" i="1" s="1"/>
  <c r="W241" i="1" s="1" a="1"/>
  <c r="W241" i="1" s="1"/>
  <c r="Q242" i="1"/>
  <c r="R242" i="1" s="1"/>
  <c r="S242" i="1" s="1"/>
  <c r="W242" i="1" s="1" a="1"/>
  <c r="W242" i="1" s="1"/>
  <c r="Q243" i="1"/>
  <c r="R243" i="1" s="1"/>
  <c r="S243" i="1" s="1"/>
  <c r="W243" i="1" s="1" a="1"/>
  <c r="W243" i="1" s="1"/>
  <c r="Q244" i="1"/>
  <c r="R244" i="1" s="1"/>
  <c r="S244" i="1" s="1"/>
  <c r="W244" i="1" s="1" a="1"/>
  <c r="W244" i="1" s="1"/>
  <c r="Q245" i="1"/>
  <c r="R245" i="1" s="1"/>
  <c r="S245" i="1" s="1"/>
  <c r="W245" i="1" s="1" a="1"/>
  <c r="W245" i="1" s="1"/>
  <c r="Q246" i="1"/>
  <c r="R246" i="1" s="1"/>
  <c r="S246" i="1" s="1"/>
  <c r="W246" i="1" s="1" a="1"/>
  <c r="W246" i="1" s="1"/>
  <c r="Q247" i="1"/>
  <c r="R247" i="1" s="1"/>
  <c r="S247" i="1" s="1"/>
  <c r="W247" i="1" s="1" a="1"/>
  <c r="W247" i="1" s="1"/>
  <c r="Q248" i="1"/>
  <c r="R248" i="1" s="1"/>
  <c r="S248" i="1" s="1"/>
  <c r="W248" i="1" s="1" a="1"/>
  <c r="W248" i="1" s="1"/>
  <c r="Q249" i="1"/>
  <c r="R249" i="1" s="1"/>
  <c r="S249" i="1" s="1"/>
  <c r="W249" i="1" s="1" a="1"/>
  <c r="W249" i="1" s="1"/>
  <c r="Q250" i="1"/>
  <c r="R250" i="1" s="1"/>
  <c r="S250" i="1" s="1"/>
  <c r="W250" i="1" s="1" a="1"/>
  <c r="W250" i="1" s="1"/>
  <c r="Q251" i="1"/>
  <c r="R251" i="1" s="1"/>
  <c r="S251" i="1" s="1"/>
  <c r="W251" i="1" s="1" a="1"/>
  <c r="W251" i="1" s="1"/>
  <c r="Q252" i="1"/>
  <c r="R252" i="1" s="1"/>
  <c r="S252" i="1" s="1"/>
  <c r="W252" i="1" s="1" a="1"/>
  <c r="W252" i="1" s="1"/>
  <c r="Q253" i="1"/>
  <c r="R253" i="1" s="1"/>
  <c r="S253" i="1" s="1"/>
  <c r="W253" i="1" s="1" a="1"/>
  <c r="W253" i="1" s="1"/>
  <c r="Q254" i="1"/>
  <c r="R254" i="1" s="1"/>
  <c r="S254" i="1" s="1"/>
  <c r="W254" i="1" s="1" a="1"/>
  <c r="W254" i="1" s="1"/>
  <c r="Q255" i="1"/>
  <c r="R255" i="1" s="1"/>
  <c r="S255" i="1" s="1"/>
  <c r="W255" i="1" s="1" a="1"/>
  <c r="W255" i="1" s="1"/>
  <c r="Q256" i="1"/>
  <c r="R256" i="1" s="1"/>
  <c r="S256" i="1" s="1"/>
  <c r="W256" i="1" s="1" a="1"/>
  <c r="W256" i="1" s="1"/>
  <c r="Q257" i="1"/>
  <c r="R257" i="1" s="1"/>
  <c r="S257" i="1" s="1"/>
  <c r="W257" i="1" s="1" a="1"/>
  <c r="W257" i="1" s="1"/>
  <c r="Q258" i="1"/>
  <c r="R258" i="1" s="1"/>
  <c r="S258" i="1" s="1"/>
  <c r="W258" i="1" s="1" a="1"/>
  <c r="W258" i="1" s="1"/>
  <c r="Q259" i="1"/>
  <c r="R259" i="1" s="1"/>
  <c r="S259" i="1" s="1"/>
  <c r="W259" i="1" s="1" a="1"/>
  <c r="W259" i="1" s="1"/>
  <c r="Q260" i="1"/>
  <c r="R260" i="1" s="1"/>
  <c r="S260" i="1" s="1"/>
  <c r="W260" i="1" s="1" a="1"/>
  <c r="W260" i="1" s="1"/>
  <c r="Q261" i="1"/>
  <c r="R261" i="1" s="1"/>
  <c r="S261" i="1" s="1"/>
  <c r="W261" i="1" s="1" a="1"/>
  <c r="W261" i="1" s="1"/>
  <c r="Q262" i="1"/>
  <c r="R262" i="1" s="1"/>
  <c r="S262" i="1" s="1"/>
  <c r="W262" i="1" s="1" a="1"/>
  <c r="W262" i="1" s="1"/>
  <c r="Q263" i="1"/>
  <c r="R263" i="1" s="1"/>
  <c r="S263" i="1" s="1"/>
  <c r="W263" i="1" s="1" a="1"/>
  <c r="W263" i="1" s="1"/>
  <c r="Q264" i="1"/>
  <c r="R264" i="1" s="1"/>
  <c r="S264" i="1" s="1"/>
  <c r="W264" i="1" s="1" a="1"/>
  <c r="W264" i="1" s="1"/>
  <c r="Q265" i="1"/>
  <c r="R265" i="1" s="1"/>
  <c r="S265" i="1" s="1"/>
  <c r="W265" i="1" s="1" a="1"/>
  <c r="W265" i="1" s="1"/>
  <c r="Q266" i="1"/>
  <c r="R266" i="1" s="1"/>
  <c r="S266" i="1" s="1"/>
  <c r="W266" i="1" s="1" a="1"/>
  <c r="W266" i="1" s="1"/>
  <c r="Q267" i="1"/>
  <c r="R267" i="1" s="1"/>
  <c r="S267" i="1" s="1"/>
  <c r="W267" i="1" s="1" a="1"/>
  <c r="W267" i="1" s="1"/>
  <c r="Q268" i="1"/>
  <c r="R268" i="1" s="1"/>
  <c r="S268" i="1" s="1"/>
  <c r="W268" i="1" s="1" a="1"/>
  <c r="W268" i="1" s="1"/>
  <c r="Q269" i="1"/>
  <c r="R269" i="1" s="1"/>
  <c r="S269" i="1" s="1"/>
  <c r="W269" i="1" s="1" a="1"/>
  <c r="W269" i="1" s="1"/>
  <c r="Q270" i="1"/>
  <c r="R270" i="1" s="1"/>
  <c r="S270" i="1" s="1"/>
  <c r="W270" i="1" s="1" a="1"/>
  <c r="W270" i="1" s="1"/>
  <c r="Q271" i="1"/>
  <c r="R271" i="1" s="1"/>
  <c r="S271" i="1" s="1"/>
  <c r="W271" i="1" s="1" a="1"/>
  <c r="W271" i="1" s="1"/>
  <c r="Q272" i="1"/>
  <c r="R272" i="1" s="1"/>
  <c r="S272" i="1" s="1"/>
  <c r="W272" i="1" s="1" a="1"/>
  <c r="W272" i="1" s="1"/>
  <c r="Q273" i="1"/>
  <c r="R273" i="1" s="1"/>
  <c r="S273" i="1" s="1"/>
  <c r="W273" i="1" s="1" a="1"/>
  <c r="W273" i="1" s="1"/>
  <c r="Q274" i="1"/>
  <c r="R274" i="1" s="1"/>
  <c r="S274" i="1" s="1"/>
  <c r="W274" i="1" s="1" a="1"/>
  <c r="W274" i="1" s="1"/>
  <c r="Q275" i="1"/>
  <c r="R275" i="1" s="1"/>
  <c r="S275" i="1" s="1"/>
  <c r="W275" i="1" s="1" a="1"/>
  <c r="W275" i="1" s="1"/>
  <c r="Q276" i="1"/>
  <c r="R276" i="1" s="1"/>
  <c r="S276" i="1" s="1"/>
  <c r="W276" i="1" s="1" a="1"/>
  <c r="W276" i="1" s="1"/>
  <c r="Q277" i="1"/>
  <c r="R277" i="1" s="1"/>
  <c r="S277" i="1" s="1"/>
  <c r="W277" i="1" s="1" a="1"/>
  <c r="W277" i="1" s="1"/>
  <c r="Q278" i="1"/>
  <c r="R278" i="1" s="1"/>
  <c r="S278" i="1" s="1"/>
  <c r="W278" i="1" s="1" a="1"/>
  <c r="W278" i="1" s="1"/>
  <c r="Q279" i="1"/>
  <c r="R279" i="1" s="1"/>
  <c r="S279" i="1" s="1"/>
  <c r="W279" i="1" s="1" a="1"/>
  <c r="W279" i="1" s="1"/>
  <c r="Q280" i="1"/>
  <c r="R280" i="1" s="1"/>
  <c r="S280" i="1" s="1"/>
  <c r="W280" i="1" s="1" a="1"/>
  <c r="W280" i="1" s="1"/>
  <c r="Q281" i="1"/>
  <c r="R281" i="1" s="1"/>
  <c r="S281" i="1" s="1"/>
  <c r="W281" i="1" s="1" a="1"/>
  <c r="W281" i="1" s="1"/>
  <c r="Q282" i="1"/>
  <c r="R282" i="1" s="1"/>
  <c r="S282" i="1" s="1"/>
  <c r="W282" i="1" s="1" a="1"/>
  <c r="W282" i="1" s="1"/>
  <c r="Q283" i="1"/>
  <c r="R283" i="1" s="1"/>
  <c r="S283" i="1" s="1"/>
  <c r="W283" i="1" s="1" a="1"/>
  <c r="W283" i="1" s="1"/>
  <c r="Q284" i="1"/>
  <c r="R284" i="1" s="1"/>
  <c r="S284" i="1" s="1"/>
  <c r="W284" i="1" s="1" a="1"/>
  <c r="W284" i="1" s="1"/>
  <c r="Q285" i="1"/>
  <c r="R285" i="1" s="1"/>
  <c r="S285" i="1" s="1"/>
  <c r="W285" i="1" s="1" a="1"/>
  <c r="W285" i="1" s="1"/>
  <c r="Q286" i="1"/>
  <c r="R286" i="1" s="1"/>
  <c r="S286" i="1" s="1"/>
  <c r="W286" i="1" s="1" a="1"/>
  <c r="W286" i="1" s="1"/>
  <c r="Q287" i="1"/>
  <c r="R287" i="1" s="1"/>
  <c r="S287" i="1" s="1"/>
  <c r="W287" i="1" s="1" a="1"/>
  <c r="W287" i="1" s="1"/>
  <c r="Q288" i="1"/>
  <c r="R288" i="1" s="1"/>
  <c r="S288" i="1" s="1"/>
  <c r="W288" i="1" s="1" a="1"/>
  <c r="W288" i="1" s="1"/>
  <c r="Q289" i="1"/>
  <c r="R289" i="1" s="1"/>
  <c r="S289" i="1" s="1"/>
  <c r="W289" i="1" s="1" a="1"/>
  <c r="W289" i="1" s="1"/>
  <c r="Q290" i="1"/>
  <c r="R290" i="1" s="1"/>
  <c r="S290" i="1" s="1"/>
  <c r="W290" i="1" s="1" a="1"/>
  <c r="W290" i="1" s="1"/>
  <c r="Q291" i="1"/>
  <c r="R291" i="1" s="1"/>
  <c r="S291" i="1" s="1"/>
  <c r="W291" i="1" s="1" a="1"/>
  <c r="W291" i="1" s="1"/>
  <c r="Q292" i="1"/>
  <c r="R292" i="1" s="1"/>
  <c r="S292" i="1" s="1"/>
  <c r="W292" i="1" s="1" a="1"/>
  <c r="W292" i="1" s="1"/>
  <c r="Q293" i="1"/>
  <c r="R293" i="1" s="1"/>
  <c r="S293" i="1" s="1"/>
  <c r="W293" i="1" s="1" a="1"/>
  <c r="W293" i="1" s="1"/>
  <c r="Q294" i="1"/>
  <c r="R294" i="1" s="1"/>
  <c r="S294" i="1" s="1"/>
  <c r="W294" i="1" s="1" a="1"/>
  <c r="W294" i="1" s="1"/>
  <c r="Q295" i="1"/>
  <c r="R295" i="1" s="1"/>
  <c r="S295" i="1" s="1"/>
  <c r="W295" i="1" s="1" a="1"/>
  <c r="W295" i="1" s="1"/>
  <c r="Q296" i="1"/>
  <c r="R296" i="1" s="1"/>
  <c r="S296" i="1" s="1"/>
  <c r="W296" i="1" s="1" a="1"/>
  <c r="W296" i="1" s="1"/>
  <c r="Q297" i="1"/>
  <c r="R297" i="1" s="1"/>
  <c r="S297" i="1" s="1"/>
  <c r="W297" i="1" s="1" a="1"/>
  <c r="W297" i="1" s="1"/>
  <c r="Q298" i="1"/>
  <c r="R298" i="1" s="1"/>
  <c r="S298" i="1" s="1"/>
  <c r="W298" i="1" s="1" a="1"/>
  <c r="W298" i="1" s="1"/>
  <c r="Q299" i="1"/>
  <c r="R299" i="1" s="1"/>
  <c r="S299" i="1" s="1"/>
  <c r="W299" i="1" s="1" a="1"/>
  <c r="W299" i="1" s="1"/>
  <c r="Q300" i="1"/>
  <c r="R300" i="1" s="1"/>
  <c r="S300" i="1" s="1"/>
  <c r="W300" i="1" s="1" a="1"/>
  <c r="W300" i="1" s="1"/>
  <c r="Q301" i="1"/>
  <c r="R301" i="1" s="1"/>
  <c r="S301" i="1" s="1"/>
  <c r="W301" i="1" s="1" a="1"/>
  <c r="W301" i="1" s="1"/>
  <c r="Q302" i="1"/>
  <c r="R302" i="1" s="1"/>
  <c r="S302" i="1" s="1"/>
  <c r="W302" i="1" s="1" a="1"/>
  <c r="W302" i="1" s="1"/>
  <c r="Q303" i="1"/>
  <c r="R303" i="1" s="1"/>
  <c r="S303" i="1" s="1"/>
  <c r="W303" i="1" s="1" a="1"/>
  <c r="W303" i="1" s="1"/>
  <c r="Q304" i="1"/>
  <c r="R304" i="1" s="1"/>
  <c r="S304" i="1" s="1"/>
  <c r="W304" i="1" s="1" a="1"/>
  <c r="W304" i="1" s="1"/>
  <c r="Q305" i="1"/>
  <c r="R305" i="1" s="1"/>
  <c r="S305" i="1" s="1"/>
  <c r="W305" i="1" s="1" a="1"/>
  <c r="W305" i="1" s="1"/>
  <c r="Q306" i="1"/>
  <c r="R306" i="1" s="1"/>
  <c r="S306" i="1" s="1"/>
  <c r="W306" i="1" s="1" a="1"/>
  <c r="W306" i="1" s="1"/>
  <c r="Q307" i="1"/>
  <c r="R307" i="1" s="1"/>
  <c r="S307" i="1" s="1"/>
  <c r="W307" i="1" s="1" a="1"/>
  <c r="W307" i="1" s="1"/>
  <c r="Q308" i="1"/>
  <c r="R308" i="1" s="1"/>
  <c r="S308" i="1" s="1"/>
  <c r="W308" i="1" s="1" a="1"/>
  <c r="W308" i="1" s="1"/>
  <c r="Q309" i="1"/>
  <c r="R309" i="1" s="1"/>
  <c r="S309" i="1" s="1"/>
  <c r="W309" i="1" s="1" a="1"/>
  <c r="W309" i="1" s="1"/>
  <c r="Q310" i="1"/>
  <c r="R310" i="1" s="1"/>
  <c r="S310" i="1" s="1"/>
  <c r="W310" i="1" s="1" a="1"/>
  <c r="W310" i="1" s="1"/>
  <c r="Q311" i="1"/>
  <c r="R311" i="1" s="1"/>
  <c r="S311" i="1" s="1"/>
  <c r="W311" i="1" s="1" a="1"/>
  <c r="W311" i="1" s="1"/>
  <c r="Q312" i="1"/>
  <c r="R312" i="1" s="1"/>
  <c r="S312" i="1" s="1"/>
  <c r="W312" i="1" s="1" a="1"/>
  <c r="W312" i="1" s="1"/>
  <c r="Q313" i="1"/>
  <c r="R313" i="1" s="1"/>
  <c r="S313" i="1" s="1"/>
  <c r="W313" i="1" s="1" a="1"/>
  <c r="W313" i="1" s="1"/>
  <c r="Q314" i="1"/>
  <c r="R314" i="1" s="1"/>
  <c r="S314" i="1" s="1"/>
  <c r="W314" i="1" s="1" a="1"/>
  <c r="W314" i="1" s="1"/>
  <c r="Q315" i="1"/>
  <c r="R315" i="1" s="1"/>
  <c r="S315" i="1" s="1"/>
  <c r="W315" i="1" s="1" a="1"/>
  <c r="W315" i="1" s="1"/>
  <c r="Q316" i="1"/>
  <c r="R316" i="1" s="1"/>
  <c r="S316" i="1" s="1"/>
  <c r="W316" i="1" s="1" a="1"/>
  <c r="W316" i="1" s="1"/>
  <c r="Q317" i="1"/>
  <c r="R317" i="1" s="1"/>
  <c r="S317" i="1" s="1"/>
  <c r="W317" i="1" s="1" a="1"/>
  <c r="W317" i="1" s="1"/>
  <c r="Q318" i="1"/>
  <c r="R318" i="1" s="1"/>
  <c r="S318" i="1" s="1"/>
  <c r="W318" i="1" s="1" a="1"/>
  <c r="W318" i="1" s="1"/>
  <c r="Q319" i="1"/>
  <c r="R319" i="1" s="1"/>
  <c r="S319" i="1" s="1"/>
  <c r="W319" i="1" s="1" a="1"/>
  <c r="W319" i="1" s="1"/>
  <c r="Q320" i="1"/>
  <c r="R320" i="1" s="1"/>
  <c r="S320" i="1" s="1"/>
  <c r="W320" i="1" s="1" a="1"/>
  <c r="W320" i="1" s="1"/>
  <c r="Q321" i="1"/>
  <c r="R321" i="1" s="1"/>
  <c r="S321" i="1" s="1"/>
  <c r="W321" i="1" s="1" a="1"/>
  <c r="W321" i="1" s="1"/>
  <c r="Q322" i="1"/>
  <c r="R322" i="1" s="1"/>
  <c r="S322" i="1" s="1"/>
  <c r="W322" i="1" s="1" a="1"/>
  <c r="W322" i="1" s="1"/>
  <c r="Q323" i="1"/>
  <c r="R323" i="1" s="1"/>
  <c r="S323" i="1" s="1"/>
  <c r="W323" i="1" s="1" a="1"/>
  <c r="W323" i="1" s="1"/>
  <c r="Q324" i="1"/>
  <c r="R324" i="1" s="1"/>
  <c r="S324" i="1" s="1"/>
  <c r="W324" i="1" s="1" a="1"/>
  <c r="W324" i="1" s="1"/>
  <c r="Q325" i="1"/>
  <c r="R325" i="1" s="1"/>
  <c r="S325" i="1" s="1"/>
  <c r="W325" i="1" s="1" a="1"/>
  <c r="W325" i="1" s="1"/>
  <c r="Q326" i="1"/>
  <c r="R326" i="1" s="1"/>
  <c r="S326" i="1" s="1"/>
  <c r="W326" i="1" s="1" a="1"/>
  <c r="W326" i="1" s="1"/>
  <c r="Q327" i="1"/>
  <c r="R327" i="1" s="1"/>
  <c r="S327" i="1" s="1"/>
  <c r="W327" i="1" s="1" a="1"/>
  <c r="W327" i="1" s="1"/>
  <c r="Q328" i="1"/>
  <c r="R328" i="1" s="1"/>
  <c r="S328" i="1" s="1"/>
  <c r="W328" i="1" s="1" a="1"/>
  <c r="W328" i="1" s="1"/>
  <c r="Q329" i="1"/>
  <c r="R329" i="1" s="1"/>
  <c r="S329" i="1" s="1"/>
  <c r="W329" i="1" s="1" a="1"/>
  <c r="W329" i="1" s="1"/>
  <c r="Q330" i="1"/>
  <c r="R330" i="1" s="1"/>
  <c r="S330" i="1" s="1"/>
  <c r="W330" i="1" s="1" a="1"/>
  <c r="W330" i="1" s="1"/>
  <c r="Q331" i="1"/>
  <c r="R331" i="1" s="1"/>
  <c r="S331" i="1" s="1"/>
  <c r="W331" i="1" s="1" a="1"/>
  <c r="W331" i="1" s="1"/>
  <c r="Q332" i="1"/>
  <c r="R332" i="1" s="1"/>
  <c r="S332" i="1" s="1"/>
  <c r="W332" i="1" s="1" a="1"/>
  <c r="W332" i="1" s="1"/>
  <c r="Q333" i="1"/>
  <c r="R333" i="1" s="1"/>
  <c r="S333" i="1" s="1"/>
  <c r="W333" i="1" s="1" a="1"/>
  <c r="W333" i="1" s="1"/>
  <c r="Q334" i="1"/>
  <c r="R334" i="1" s="1"/>
  <c r="S334" i="1" s="1"/>
  <c r="W334" i="1" s="1" a="1"/>
  <c r="W334" i="1" s="1"/>
  <c r="Q335" i="1"/>
  <c r="R335" i="1" s="1"/>
  <c r="S335" i="1" s="1"/>
  <c r="W335" i="1" s="1" a="1"/>
  <c r="W335" i="1" s="1"/>
  <c r="Q336" i="1"/>
  <c r="R336" i="1" s="1"/>
  <c r="S336" i="1" s="1"/>
  <c r="W336" i="1" s="1" a="1"/>
  <c r="W336" i="1" s="1"/>
  <c r="Q337" i="1"/>
  <c r="R337" i="1" s="1"/>
  <c r="S337" i="1" s="1"/>
  <c r="W337" i="1" s="1" a="1"/>
  <c r="W337" i="1" s="1"/>
  <c r="Q338" i="1"/>
  <c r="R338" i="1" s="1"/>
  <c r="S338" i="1" s="1"/>
  <c r="W338" i="1" s="1" a="1"/>
  <c r="W338" i="1" s="1"/>
  <c r="Q339" i="1"/>
  <c r="R339" i="1" s="1"/>
  <c r="S339" i="1" s="1"/>
  <c r="W339" i="1" s="1" a="1"/>
  <c r="W339" i="1" s="1"/>
  <c r="Q340" i="1"/>
  <c r="R340" i="1" s="1"/>
  <c r="S340" i="1" s="1"/>
  <c r="W340" i="1" s="1" a="1"/>
  <c r="W340" i="1" s="1"/>
  <c r="Q341" i="1"/>
  <c r="R341" i="1" s="1"/>
  <c r="S341" i="1" s="1"/>
  <c r="W341" i="1" s="1" a="1"/>
  <c r="W341" i="1" s="1"/>
  <c r="Q342" i="1"/>
  <c r="R342" i="1" s="1"/>
  <c r="S342" i="1" s="1"/>
  <c r="W342" i="1" s="1" a="1"/>
  <c r="W342" i="1" s="1"/>
  <c r="Q343" i="1"/>
  <c r="R343" i="1" s="1"/>
  <c r="S343" i="1" s="1"/>
  <c r="W343" i="1" s="1" a="1"/>
  <c r="W343" i="1" s="1"/>
  <c r="Q344" i="1"/>
  <c r="R344" i="1" s="1"/>
  <c r="S344" i="1" s="1"/>
  <c r="W344" i="1" s="1" a="1"/>
  <c r="W344" i="1" s="1"/>
  <c r="Q345" i="1"/>
  <c r="R345" i="1" s="1"/>
  <c r="S345" i="1" s="1"/>
  <c r="W345" i="1" s="1" a="1"/>
  <c r="W345" i="1" s="1"/>
  <c r="Q346" i="1"/>
  <c r="R346" i="1" s="1"/>
  <c r="S346" i="1" s="1"/>
  <c r="W346" i="1" s="1" a="1"/>
  <c r="W346" i="1" s="1"/>
  <c r="Q347" i="1"/>
  <c r="R347" i="1" s="1"/>
  <c r="S347" i="1" s="1"/>
  <c r="W347" i="1" s="1" a="1"/>
  <c r="W347" i="1" s="1"/>
  <c r="Q348" i="1"/>
  <c r="R348" i="1" s="1"/>
  <c r="S348" i="1" s="1"/>
  <c r="W348" i="1" s="1" a="1"/>
  <c r="W348" i="1" s="1"/>
  <c r="Q349" i="1"/>
  <c r="R349" i="1" s="1"/>
  <c r="S349" i="1" s="1"/>
  <c r="W349" i="1" s="1" a="1"/>
  <c r="W349" i="1" s="1"/>
  <c r="Q350" i="1"/>
  <c r="R350" i="1" s="1"/>
  <c r="S350" i="1" s="1"/>
  <c r="W350" i="1" s="1" a="1"/>
  <c r="W350" i="1" s="1"/>
  <c r="Q351" i="1"/>
  <c r="R351" i="1" s="1"/>
  <c r="S351" i="1" s="1"/>
  <c r="W351" i="1" s="1" a="1"/>
  <c r="W351" i="1" s="1"/>
  <c r="Q352" i="1"/>
  <c r="R352" i="1" s="1"/>
  <c r="S352" i="1" s="1"/>
  <c r="W352" i="1" s="1" a="1"/>
  <c r="W352" i="1" s="1"/>
  <c r="Q353" i="1"/>
  <c r="R353" i="1" s="1"/>
  <c r="S353" i="1" s="1"/>
  <c r="W353" i="1" s="1" a="1"/>
  <c r="W353" i="1" s="1"/>
  <c r="Q354" i="1"/>
  <c r="R354" i="1" s="1"/>
  <c r="S354" i="1" s="1"/>
  <c r="W354" i="1" s="1" a="1"/>
  <c r="W354" i="1" s="1"/>
  <c r="Q355" i="1"/>
  <c r="R355" i="1" s="1"/>
  <c r="S355" i="1" s="1"/>
  <c r="W355" i="1" s="1" a="1"/>
  <c r="W355" i="1" s="1"/>
  <c r="Q356" i="1"/>
  <c r="R356" i="1" s="1"/>
  <c r="S356" i="1" s="1"/>
  <c r="W356" i="1" s="1" a="1"/>
  <c r="W356" i="1" s="1"/>
  <c r="Q357" i="1"/>
  <c r="R357" i="1" s="1"/>
  <c r="S357" i="1" s="1"/>
  <c r="W357" i="1" s="1" a="1"/>
  <c r="W357" i="1" s="1"/>
  <c r="Q358" i="1"/>
  <c r="R358" i="1" s="1"/>
  <c r="S358" i="1" s="1"/>
  <c r="W358" i="1" s="1" a="1"/>
  <c r="W358" i="1" s="1"/>
  <c r="Q359" i="1"/>
  <c r="R359" i="1" s="1"/>
  <c r="S359" i="1" s="1"/>
  <c r="W359" i="1" s="1" a="1"/>
  <c r="W359" i="1" s="1"/>
  <c r="Q360" i="1"/>
  <c r="R360" i="1" s="1"/>
  <c r="S360" i="1" s="1"/>
  <c r="W360" i="1" s="1" a="1"/>
  <c r="W360" i="1" s="1"/>
  <c r="Q361" i="1"/>
  <c r="R361" i="1" s="1"/>
  <c r="S361" i="1" s="1"/>
  <c r="W361" i="1" s="1" a="1"/>
  <c r="W361" i="1" s="1"/>
  <c r="Q362" i="1"/>
  <c r="R362" i="1" s="1"/>
  <c r="S362" i="1" s="1"/>
  <c r="W362" i="1" s="1" a="1"/>
  <c r="W362" i="1" s="1"/>
  <c r="Q363" i="1"/>
  <c r="R363" i="1" s="1"/>
  <c r="S363" i="1" s="1"/>
  <c r="W363" i="1" s="1" a="1"/>
  <c r="W363" i="1" s="1"/>
  <c r="Q364" i="1"/>
  <c r="R364" i="1" s="1"/>
  <c r="S364" i="1" s="1"/>
  <c r="W364" i="1" s="1" a="1"/>
  <c r="W364" i="1" s="1"/>
  <c r="Q365" i="1"/>
  <c r="R365" i="1" s="1"/>
  <c r="S365" i="1" s="1"/>
  <c r="W365" i="1" s="1" a="1"/>
  <c r="W365" i="1" s="1"/>
  <c r="Q366" i="1"/>
  <c r="R366" i="1" s="1"/>
  <c r="S366" i="1" s="1"/>
  <c r="W366" i="1" s="1" a="1"/>
  <c r="W366" i="1" s="1"/>
  <c r="Q367" i="1"/>
  <c r="R367" i="1" s="1"/>
  <c r="S367" i="1" s="1"/>
  <c r="W367" i="1" s="1" a="1"/>
  <c r="W367" i="1" s="1"/>
  <c r="Q368" i="1"/>
  <c r="R368" i="1" s="1"/>
  <c r="S368" i="1" s="1"/>
  <c r="W368" i="1" s="1" a="1"/>
  <c r="W368" i="1" s="1"/>
  <c r="Q369" i="1"/>
  <c r="R369" i="1" s="1"/>
  <c r="S369" i="1" s="1"/>
  <c r="W369" i="1" s="1" a="1"/>
  <c r="W369" i="1" s="1"/>
  <c r="Q370" i="1"/>
  <c r="R370" i="1" s="1"/>
  <c r="S370" i="1" s="1"/>
  <c r="W370" i="1" s="1" a="1"/>
  <c r="W370" i="1" s="1"/>
  <c r="Q371" i="1"/>
  <c r="R371" i="1" s="1"/>
  <c r="S371" i="1" s="1"/>
  <c r="W371" i="1" s="1" a="1"/>
  <c r="W371" i="1" s="1"/>
  <c r="Q372" i="1"/>
  <c r="R372" i="1" s="1"/>
  <c r="S372" i="1" s="1"/>
  <c r="W372" i="1" s="1" a="1"/>
  <c r="W372" i="1" s="1"/>
  <c r="Q373" i="1"/>
  <c r="R373" i="1" s="1"/>
  <c r="S373" i="1" s="1"/>
  <c r="W373" i="1" s="1" a="1"/>
  <c r="W373" i="1" s="1"/>
  <c r="Q374" i="1"/>
  <c r="R374" i="1" s="1"/>
  <c r="S374" i="1" s="1"/>
  <c r="W374" i="1" s="1" a="1"/>
  <c r="W374" i="1" s="1"/>
  <c r="Q375" i="1"/>
  <c r="R375" i="1" s="1"/>
  <c r="S375" i="1" s="1"/>
  <c r="W375" i="1" s="1" a="1"/>
  <c r="W375" i="1" s="1"/>
  <c r="Q376" i="1"/>
  <c r="R376" i="1" s="1"/>
  <c r="S376" i="1" s="1"/>
  <c r="W376" i="1" s="1" a="1"/>
  <c r="W376" i="1" s="1"/>
  <c r="Q377" i="1"/>
  <c r="R377" i="1" s="1"/>
  <c r="S377" i="1" s="1"/>
  <c r="W377" i="1" s="1" a="1"/>
  <c r="W377" i="1" s="1"/>
  <c r="Q378" i="1"/>
  <c r="R378" i="1" s="1"/>
  <c r="S378" i="1" s="1"/>
  <c r="W378" i="1" s="1" a="1"/>
  <c r="W378" i="1" s="1"/>
  <c r="Q379" i="1"/>
  <c r="R379" i="1" s="1"/>
  <c r="S379" i="1" s="1"/>
  <c r="W379" i="1" s="1" a="1"/>
  <c r="W379" i="1" s="1"/>
  <c r="Q380" i="1"/>
  <c r="R380" i="1" s="1"/>
  <c r="S380" i="1" s="1"/>
  <c r="W380" i="1" s="1" a="1"/>
  <c r="W380" i="1" s="1"/>
  <c r="Q381" i="1"/>
  <c r="R381" i="1" s="1"/>
  <c r="S381" i="1" s="1"/>
  <c r="W381" i="1" s="1" a="1"/>
  <c r="W381" i="1" s="1"/>
  <c r="Q382" i="1"/>
  <c r="R382" i="1" s="1"/>
  <c r="S382" i="1" s="1"/>
  <c r="W382" i="1" s="1" a="1"/>
  <c r="W382" i="1" s="1"/>
  <c r="Q383" i="1"/>
  <c r="R383" i="1" s="1"/>
  <c r="S383" i="1" s="1"/>
  <c r="W383" i="1" s="1" a="1"/>
  <c r="W383" i="1" s="1"/>
  <c r="Q384" i="1"/>
  <c r="R384" i="1" s="1"/>
  <c r="S384" i="1" s="1"/>
  <c r="W384" i="1" s="1" a="1"/>
  <c r="W384" i="1" s="1"/>
  <c r="Q385" i="1"/>
  <c r="R385" i="1" s="1"/>
  <c r="S385" i="1" s="1"/>
  <c r="W385" i="1" s="1" a="1"/>
  <c r="W385" i="1" s="1"/>
  <c r="Q386" i="1"/>
  <c r="R386" i="1" s="1"/>
  <c r="S386" i="1" s="1"/>
  <c r="W386" i="1" s="1" a="1"/>
  <c r="W386" i="1" s="1"/>
  <c r="Q387" i="1"/>
  <c r="R387" i="1" s="1"/>
  <c r="S387" i="1" s="1"/>
  <c r="W387" i="1" s="1" a="1"/>
  <c r="W387" i="1" s="1"/>
  <c r="Q388" i="1"/>
  <c r="R388" i="1" s="1"/>
  <c r="S388" i="1" s="1"/>
  <c r="W388" i="1" s="1" a="1"/>
  <c r="W388" i="1" s="1"/>
  <c r="Q389" i="1"/>
  <c r="R389" i="1" s="1"/>
  <c r="S389" i="1" s="1"/>
  <c r="W389" i="1" s="1" a="1"/>
  <c r="W389" i="1" s="1"/>
  <c r="Q390" i="1"/>
  <c r="R390" i="1" s="1"/>
  <c r="S390" i="1" s="1"/>
  <c r="W390" i="1" s="1" a="1"/>
  <c r="W390" i="1" s="1"/>
  <c r="Q391" i="1"/>
  <c r="R391" i="1" s="1"/>
  <c r="S391" i="1" s="1"/>
  <c r="W391" i="1" s="1" a="1"/>
  <c r="W391" i="1" s="1"/>
  <c r="Q392" i="1"/>
  <c r="R392" i="1" s="1"/>
  <c r="S392" i="1" s="1"/>
  <c r="W392" i="1" s="1" a="1"/>
  <c r="W392" i="1" s="1"/>
  <c r="Q393" i="1"/>
  <c r="R393" i="1" s="1"/>
  <c r="S393" i="1" s="1"/>
  <c r="W393" i="1" s="1" a="1"/>
  <c r="W393" i="1" s="1"/>
  <c r="Q394" i="1"/>
  <c r="R394" i="1" s="1"/>
  <c r="S394" i="1" s="1"/>
  <c r="W394" i="1" s="1" a="1"/>
  <c r="W394" i="1" s="1"/>
  <c r="Q395" i="1"/>
  <c r="R395" i="1" s="1"/>
  <c r="S395" i="1" s="1"/>
  <c r="W395" i="1" s="1" a="1"/>
  <c r="W395" i="1" s="1"/>
  <c r="Q396" i="1"/>
  <c r="R396" i="1" s="1"/>
  <c r="S396" i="1" s="1"/>
  <c r="W396" i="1" s="1" a="1"/>
  <c r="W396" i="1" s="1"/>
  <c r="Q397" i="1"/>
  <c r="R397" i="1" s="1"/>
  <c r="S397" i="1" s="1"/>
  <c r="W397" i="1" s="1" a="1"/>
  <c r="W397" i="1" s="1"/>
  <c r="Q398" i="1"/>
  <c r="R398" i="1" s="1"/>
  <c r="S398" i="1" s="1"/>
  <c r="W398" i="1" s="1" a="1"/>
  <c r="W398" i="1" s="1"/>
  <c r="Q399" i="1"/>
  <c r="R399" i="1" s="1"/>
  <c r="S399" i="1" s="1"/>
  <c r="W399" i="1" s="1" a="1"/>
  <c r="W399" i="1" s="1"/>
  <c r="Q400" i="1"/>
  <c r="R400" i="1" s="1"/>
  <c r="S400" i="1" s="1"/>
  <c r="W400" i="1" s="1" a="1"/>
  <c r="W400" i="1" s="1"/>
  <c r="Q401" i="1"/>
  <c r="R401" i="1" s="1"/>
  <c r="S401" i="1" s="1"/>
  <c r="W401" i="1" s="1" a="1"/>
  <c r="W401" i="1" s="1"/>
  <c r="Q402" i="1"/>
  <c r="R402" i="1" s="1"/>
  <c r="S402" i="1" s="1"/>
  <c r="W402" i="1" s="1" a="1"/>
  <c r="W402" i="1" s="1"/>
  <c r="Q403" i="1"/>
  <c r="R403" i="1" s="1"/>
  <c r="S403" i="1" s="1"/>
  <c r="W403" i="1" s="1" a="1"/>
  <c r="W403" i="1" s="1"/>
  <c r="Q404" i="1"/>
  <c r="R404" i="1" s="1"/>
  <c r="S404" i="1" s="1"/>
  <c r="W404" i="1" s="1" a="1"/>
  <c r="W404" i="1" s="1"/>
  <c r="Q405" i="1"/>
  <c r="R405" i="1" s="1"/>
  <c r="S405" i="1" s="1"/>
  <c r="W405" i="1" s="1" a="1"/>
  <c r="W405" i="1" s="1"/>
  <c r="Q406" i="1"/>
  <c r="R406" i="1" s="1"/>
  <c r="S406" i="1" s="1"/>
  <c r="W406" i="1" s="1" a="1"/>
  <c r="W406" i="1" s="1"/>
  <c r="Q407" i="1"/>
  <c r="R407" i="1" s="1"/>
  <c r="S407" i="1" s="1"/>
  <c r="W407" i="1" s="1" a="1"/>
  <c r="W407" i="1" s="1"/>
  <c r="Q408" i="1"/>
  <c r="R408" i="1" s="1"/>
  <c r="S408" i="1" s="1"/>
  <c r="W408" i="1" s="1" a="1"/>
  <c r="W408" i="1" s="1"/>
  <c r="Q409" i="1"/>
  <c r="R409" i="1" s="1"/>
  <c r="S409" i="1" s="1"/>
  <c r="W409" i="1" s="1" a="1"/>
  <c r="W409" i="1" s="1"/>
  <c r="Q410" i="1"/>
  <c r="R410" i="1" s="1"/>
  <c r="S410" i="1" s="1"/>
  <c r="W410" i="1" s="1" a="1"/>
  <c r="W410" i="1" s="1"/>
  <c r="Q411" i="1"/>
  <c r="R411" i="1" s="1"/>
  <c r="S411" i="1" s="1"/>
  <c r="W411" i="1" s="1" a="1"/>
  <c r="W411" i="1" s="1"/>
  <c r="Q412" i="1"/>
  <c r="R412" i="1" s="1"/>
  <c r="S412" i="1" s="1"/>
  <c r="W412" i="1" s="1" a="1"/>
  <c r="W412" i="1" s="1"/>
  <c r="Q413" i="1"/>
  <c r="R413" i="1" s="1"/>
  <c r="S413" i="1" s="1"/>
  <c r="W413" i="1" s="1" a="1"/>
  <c r="W413" i="1" s="1"/>
  <c r="Q414" i="1"/>
  <c r="R414" i="1" s="1"/>
  <c r="S414" i="1" s="1"/>
  <c r="W414" i="1" s="1" a="1"/>
  <c r="W414" i="1" s="1"/>
  <c r="Q415" i="1"/>
  <c r="R415" i="1" s="1"/>
  <c r="S415" i="1" s="1"/>
  <c r="W415" i="1" s="1" a="1"/>
  <c r="W415" i="1" s="1"/>
  <c r="Q416" i="1"/>
  <c r="R416" i="1" s="1"/>
  <c r="S416" i="1" s="1"/>
  <c r="W416" i="1" s="1" a="1"/>
  <c r="W416" i="1" s="1"/>
  <c r="Q417" i="1"/>
  <c r="R417" i="1" s="1"/>
  <c r="S417" i="1" s="1"/>
  <c r="W417" i="1" s="1" a="1"/>
  <c r="W417" i="1" s="1"/>
  <c r="Q418" i="1"/>
  <c r="R418" i="1" s="1"/>
  <c r="S418" i="1" s="1"/>
  <c r="W418" i="1" s="1" a="1"/>
  <c r="W418" i="1" s="1"/>
  <c r="Q419" i="1"/>
  <c r="R419" i="1" s="1"/>
  <c r="S419" i="1" s="1"/>
  <c r="W419" i="1" s="1" a="1"/>
  <c r="W419" i="1" s="1"/>
  <c r="Q420" i="1"/>
  <c r="R420" i="1" s="1"/>
  <c r="S420" i="1" s="1"/>
  <c r="W420" i="1" s="1" a="1"/>
  <c r="W420" i="1" s="1"/>
  <c r="Q421" i="1"/>
  <c r="R421" i="1" s="1"/>
  <c r="S421" i="1" s="1"/>
  <c r="W421" i="1" s="1" a="1"/>
  <c r="W421" i="1" s="1"/>
  <c r="Q422" i="1"/>
  <c r="R422" i="1" s="1"/>
  <c r="S422" i="1" s="1"/>
  <c r="W422" i="1" s="1" a="1"/>
  <c r="W422" i="1" s="1"/>
  <c r="Q423" i="1"/>
  <c r="R423" i="1" s="1"/>
  <c r="S423" i="1" s="1"/>
  <c r="W423" i="1" s="1" a="1"/>
  <c r="W423" i="1" s="1"/>
  <c r="Q424" i="1"/>
  <c r="R424" i="1" s="1"/>
  <c r="S424" i="1" s="1"/>
  <c r="W424" i="1" s="1" a="1"/>
  <c r="W424" i="1" s="1"/>
  <c r="Q425" i="1"/>
  <c r="R425" i="1" s="1"/>
  <c r="S425" i="1" s="1"/>
  <c r="W425" i="1" s="1" a="1"/>
  <c r="W425" i="1" s="1"/>
  <c r="Q426" i="1"/>
  <c r="R426" i="1" s="1"/>
  <c r="S426" i="1" s="1"/>
  <c r="W426" i="1" s="1" a="1"/>
  <c r="W426" i="1" s="1"/>
  <c r="Q427" i="1"/>
  <c r="R427" i="1" s="1"/>
  <c r="S427" i="1" s="1"/>
  <c r="W427" i="1" s="1" a="1"/>
  <c r="W427" i="1" s="1"/>
  <c r="Q428" i="1"/>
  <c r="R428" i="1" s="1"/>
  <c r="S428" i="1" s="1"/>
  <c r="W428" i="1" s="1" a="1"/>
  <c r="W428" i="1" s="1"/>
  <c r="Q429" i="1"/>
  <c r="R429" i="1" s="1"/>
  <c r="S429" i="1" s="1"/>
  <c r="W429" i="1" s="1" a="1"/>
  <c r="W429" i="1" s="1"/>
  <c r="Q430" i="1"/>
  <c r="R430" i="1" s="1"/>
  <c r="S430" i="1" s="1"/>
  <c r="W430" i="1" s="1" a="1"/>
  <c r="W430" i="1" s="1"/>
  <c r="Q431" i="1"/>
  <c r="R431" i="1" s="1"/>
  <c r="S431" i="1" s="1"/>
  <c r="W431" i="1" s="1" a="1"/>
  <c r="W431" i="1" s="1"/>
  <c r="Q432" i="1"/>
  <c r="R432" i="1" s="1"/>
  <c r="S432" i="1" s="1"/>
  <c r="W432" i="1" s="1" a="1"/>
  <c r="W432" i="1" s="1"/>
  <c r="Q433" i="1"/>
  <c r="R433" i="1" s="1"/>
  <c r="S433" i="1" s="1"/>
  <c r="W433" i="1" s="1" a="1"/>
  <c r="W433" i="1" s="1"/>
  <c r="Q434" i="1"/>
  <c r="R434" i="1" s="1"/>
  <c r="S434" i="1" s="1"/>
  <c r="W434" i="1" s="1" a="1"/>
  <c r="W434" i="1" s="1"/>
  <c r="Q435" i="1"/>
  <c r="R435" i="1" s="1"/>
  <c r="S435" i="1" s="1"/>
  <c r="W435" i="1" s="1" a="1"/>
  <c r="W435" i="1" s="1"/>
  <c r="Q436" i="1"/>
  <c r="R436" i="1" s="1"/>
  <c r="S436" i="1" s="1"/>
  <c r="W436" i="1" s="1" a="1"/>
  <c r="W436" i="1" s="1"/>
  <c r="Q437" i="1"/>
  <c r="R437" i="1" s="1"/>
  <c r="S437" i="1" s="1"/>
  <c r="W437" i="1" s="1" a="1"/>
  <c r="W437" i="1" s="1"/>
  <c r="Q438" i="1"/>
  <c r="R438" i="1" s="1"/>
  <c r="S438" i="1" s="1"/>
  <c r="W438" i="1" s="1" a="1"/>
  <c r="W438" i="1" s="1"/>
  <c r="Q439" i="1"/>
  <c r="R439" i="1" s="1"/>
  <c r="S439" i="1" s="1"/>
  <c r="W439" i="1" s="1" a="1"/>
  <c r="W439" i="1" s="1"/>
  <c r="Q440" i="1"/>
  <c r="R440" i="1" s="1"/>
  <c r="S440" i="1" s="1"/>
  <c r="W440" i="1" s="1" a="1"/>
  <c r="W440" i="1" s="1"/>
  <c r="Q441" i="1"/>
  <c r="R441" i="1" s="1"/>
  <c r="S441" i="1" s="1"/>
  <c r="W441" i="1" s="1" a="1"/>
  <c r="W441" i="1" s="1"/>
  <c r="Q442" i="1"/>
  <c r="R442" i="1" s="1"/>
  <c r="S442" i="1" s="1"/>
  <c r="W442" i="1" s="1" a="1"/>
  <c r="W442" i="1" s="1"/>
  <c r="Q443" i="1"/>
  <c r="R443" i="1" s="1"/>
  <c r="S443" i="1" s="1"/>
  <c r="W443" i="1" s="1" a="1"/>
  <c r="W443" i="1" s="1"/>
  <c r="Q444" i="1"/>
  <c r="R444" i="1" s="1"/>
  <c r="S444" i="1" s="1"/>
  <c r="W444" i="1" s="1" a="1"/>
  <c r="W444" i="1" s="1"/>
  <c r="Q445" i="1"/>
  <c r="R445" i="1" s="1"/>
  <c r="S445" i="1" s="1"/>
  <c r="W445" i="1" s="1" a="1"/>
  <c r="W445" i="1" s="1"/>
  <c r="Q446" i="1"/>
  <c r="R446" i="1" s="1"/>
  <c r="S446" i="1" s="1"/>
  <c r="W446" i="1" s="1" a="1"/>
  <c r="W446" i="1" s="1"/>
  <c r="Q447" i="1"/>
  <c r="R447" i="1" s="1"/>
  <c r="S447" i="1" s="1"/>
  <c r="W447" i="1" s="1" a="1"/>
  <c r="W447" i="1" s="1"/>
  <c r="Q448" i="1"/>
  <c r="R448" i="1" s="1"/>
  <c r="S448" i="1" s="1"/>
  <c r="W448" i="1" s="1" a="1"/>
  <c r="W448" i="1" s="1"/>
  <c r="Q449" i="1"/>
  <c r="R449" i="1" s="1"/>
  <c r="S449" i="1" s="1"/>
  <c r="W449" i="1" s="1" a="1"/>
  <c r="W449" i="1" s="1"/>
  <c r="Q450" i="1"/>
  <c r="R450" i="1" s="1"/>
  <c r="S450" i="1" s="1"/>
  <c r="W450" i="1" s="1" a="1"/>
  <c r="W450" i="1" s="1"/>
  <c r="Q451" i="1"/>
  <c r="R451" i="1" s="1"/>
  <c r="S451" i="1" s="1"/>
  <c r="W451" i="1" s="1" a="1"/>
  <c r="W451" i="1" s="1"/>
  <c r="Q2" i="1"/>
  <c r="R2" i="1" s="1"/>
  <c r="S2" i="1" s="1"/>
  <c r="W2" i="1" s="1" a="1"/>
  <c r="W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<sst xmlns="http://schemas.openxmlformats.org/spreadsheetml/2006/main" count="2370" uniqueCount="59">
  <si>
    <t>Transaction_ID</t>
  </si>
  <si>
    <t>Transaction_Date</t>
  </si>
  <si>
    <t>Sales_Rep</t>
  </si>
  <si>
    <t>Region</t>
  </si>
  <si>
    <t>City</t>
  </si>
  <si>
    <t>Client_Type</t>
  </si>
  <si>
    <t>Product_Service</t>
  </si>
  <si>
    <t>Sales_Channel</t>
  </si>
  <si>
    <t>Revenue</t>
  </si>
  <si>
    <t>Cost</t>
  </si>
  <si>
    <t>Target_Revenue</t>
  </si>
  <si>
    <t>RAHUL</t>
  </si>
  <si>
    <t>South</t>
  </si>
  <si>
    <t>bengaluru</t>
  </si>
  <si>
    <t>enterprise</t>
  </si>
  <si>
    <t>subscription</t>
  </si>
  <si>
    <t>direct</t>
  </si>
  <si>
    <t>West</t>
  </si>
  <si>
    <t>Bengaluru</t>
  </si>
  <si>
    <t>Startup</t>
  </si>
  <si>
    <t>Logistics</t>
  </si>
  <si>
    <t>Online</t>
  </si>
  <si>
    <t xml:space="preserve">amit </t>
  </si>
  <si>
    <t>WEST</t>
  </si>
  <si>
    <t>Chennai</t>
  </si>
  <si>
    <t>Priya</t>
  </si>
  <si>
    <t>Mumbai</t>
  </si>
  <si>
    <t>Consulting</t>
  </si>
  <si>
    <t>Direct</t>
  </si>
  <si>
    <t>Sneha</t>
  </si>
  <si>
    <t>Ankit</t>
  </si>
  <si>
    <t>south</t>
  </si>
  <si>
    <t>SMB</t>
  </si>
  <si>
    <t>Partner</t>
  </si>
  <si>
    <t>East</t>
  </si>
  <si>
    <t>Hyderabad</t>
  </si>
  <si>
    <t>Amit</t>
  </si>
  <si>
    <t>North</t>
  </si>
  <si>
    <t>Delhi</t>
  </si>
  <si>
    <t>Enterprise</t>
  </si>
  <si>
    <t>Support</t>
  </si>
  <si>
    <t>Neha</t>
  </si>
  <si>
    <t>Subscription</t>
  </si>
  <si>
    <t>Implementation</t>
  </si>
  <si>
    <t>Pune</t>
  </si>
  <si>
    <t>Rahul</t>
  </si>
  <si>
    <t>Sales_Rep_Clean</t>
  </si>
  <si>
    <t>Region_Clean</t>
  </si>
  <si>
    <t>City_Clean</t>
  </si>
  <si>
    <t>Client_Type_Clean</t>
  </si>
  <si>
    <t>Sales_Channel_Clean</t>
  </si>
  <si>
    <t>Total_Cost</t>
  </si>
  <si>
    <t>Gross_Margin</t>
  </si>
  <si>
    <t>Margin_%</t>
  </si>
  <si>
    <t>Target_Achievement_%</t>
  </si>
  <si>
    <t>Variance</t>
  </si>
  <si>
    <t>Profit_Status</t>
  </si>
  <si>
    <t>Month</t>
  </si>
  <si>
    <t>Performance_Band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</si>
</sst>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Font="1" applyAlignment="1"/>
    <xf numFmtId="0" fontId="0" fillId="0" borderId="0" xfId="0" applyFont="1"/>
    <xf numFmtId="0" fontId="0" fillId="0" borderId="0" xfId="0" applyFont="1" applyFill="1" applyAlignme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2A62-748F-4EB4-858F-AE0C64E706CB}">
  <dimension ref="A1:X451"/>
  <sheetViews>
    <sheetView tabSelected="1" topLeftCell="N1" workbookViewId="0">
      <pane ySplit="1" topLeftCell="A119" activePane="bottomLeft" state="frozen"/>
      <selection pane="bottomLeft" activeCell="V2" sqref="V2:V451"/>
    </sheetView>
  </sheetViews>
  <sheetFormatPr defaultRowHeight="14.4" x14ac:dyDescent="0.3"/>
  <cols>
    <col min="1" max="1" width="12.88671875" bestFit="1" customWidth="1"/>
    <col min="2" max="2" width="15.109375" bestFit="1" customWidth="1"/>
    <col min="3" max="3" width="9.21875" bestFit="1" customWidth="1"/>
    <col min="4" max="4" width="6.44140625" bestFit="1" customWidth="1"/>
    <col min="5" max="5" width="9.77734375" bestFit="1" customWidth="1"/>
    <col min="6" max="6" width="10.109375" bestFit="1" customWidth="1"/>
    <col min="7" max="7" width="14.109375" bestFit="1" customWidth="1"/>
    <col min="8" max="8" width="12.77734375" bestFit="1" customWidth="1"/>
    <col min="9" max="10" width="10" bestFit="1" customWidth="1"/>
    <col min="11" max="11" width="13.77734375" bestFit="1" customWidth="1"/>
    <col min="12" max="12" width="14.77734375" bestFit="1" customWidth="1"/>
    <col min="13" max="13" width="11.88671875" bestFit="1" customWidth="1"/>
    <col min="14" max="14" width="9.77734375" bestFit="1" customWidth="1"/>
    <col min="15" max="15" width="15.6640625" bestFit="1" customWidth="1"/>
    <col min="16" max="16" width="18.44140625" style="4" bestFit="1" customWidth="1"/>
    <col min="18" max="18" width="12" style="6" bestFit="1" customWidth="1"/>
    <col min="20" max="20" width="19.77734375" bestFit="1" customWidth="1"/>
    <col min="22" max="22" width="11.109375" bestFit="1" customWidth="1"/>
    <col min="23" max="23" width="16.33203125" bestFit="1" customWidth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46</v>
      </c>
      <c r="M1" s="2" t="s">
        <v>47</v>
      </c>
      <c r="N1" s="2" t="s">
        <v>48</v>
      </c>
      <c r="O1" s="2" t="s">
        <v>49</v>
      </c>
      <c r="P1" s="3" t="s">
        <v>50</v>
      </c>
      <c r="Q1" s="3" t="s">
        <v>51</v>
      </c>
      <c r="R1" s="5" t="s">
        <v>52</v>
      </c>
      <c r="S1" s="3" t="s">
        <v>53</v>
      </c>
      <c r="T1" s="3" t="s">
        <v>54</v>
      </c>
      <c r="U1" s="3" t="s">
        <v>55</v>
      </c>
      <c r="V1" t="s">
        <v>56</v>
      </c>
      <c r="W1" s="3" t="s">
        <v>58</v>
      </c>
      <c r="X1" s="3" t="s">
        <v>57</v>
      </c>
    </row>
    <row r="2" spans="1:24" x14ac:dyDescent="0.3">
      <c r="A2">
        <v>10102</v>
      </c>
      <c r="B2" s="1">
        <v>45435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79373.94</v>
      </c>
      <c r="J2">
        <v>61807.86</v>
      </c>
      <c r="K2">
        <v>147637.16</v>
      </c>
      <c r="L2" t="str">
        <f>IF(TRIM(C2)="","Unassigned", PROPER(TRIM(C2)))</f>
        <v>Rahul</v>
      </c>
      <c r="M2" t="str">
        <f>IF(TRIM(D2)="","Unknown",PROPER(TRIM(D2)))</f>
        <v>South</v>
      </c>
      <c r="N2" t="str">
        <f>IF(TRIM(E2)="","Unknown", PROPER(TRIM(E2)))</f>
        <v>Bengaluru</v>
      </c>
      <c r="O2" t="str">
        <f>IF(TRIM(F2)="","Unknown",PROPER(TRIM(F2)))</f>
        <v>Enterprise</v>
      </c>
      <c r="P2" s="4" t="str">
        <f>IF(TRIM(H2)="","Unknown",TRIM(H2))</f>
        <v>direct</v>
      </c>
      <c r="Q2">
        <f>IFERROR(J2,0)</f>
        <v>61807.86</v>
      </c>
      <c r="R2" s="6">
        <f>I2-Q2</f>
        <v>17566.080000000002</v>
      </c>
      <c r="S2">
        <f>IFERROR(R2/I2,0)</f>
        <v>0.22130790030077885</v>
      </c>
      <c r="T2">
        <f>IFERROR(I2/K2,0)</f>
        <v>0.53762846697945155</v>
      </c>
      <c r="U2">
        <f>I2-K2</f>
        <v>-68263.22</v>
      </c>
      <c r="V2" t="str">
        <f>IF(R2&lt;0,"Unprofitable","Profitable")</f>
        <v>Profitable</v>
      </c>
      <c r="W2" t="str" cm="1">
        <f t="array" ref="W2">_xlfn.IFS(S2&lt;0,"Loss", S2&lt;0.15,"Low Margin",S2&lt;0.3,"Medium High", TRUE, "High Margin")</f>
        <v>Medium High</v>
      </c>
      <c r="X2" t="str">
        <f>TEXT(B2,"MM-YYYY")</f>
        <v>05-2024</v>
      </c>
    </row>
    <row r="3" spans="1:24" x14ac:dyDescent="0.3">
      <c r="A3">
        <v>10435</v>
      </c>
      <c r="B3" s="1">
        <v>45360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8259.9</v>
      </c>
      <c r="J3">
        <v>9572.6</v>
      </c>
      <c r="K3">
        <v>78782.52</v>
      </c>
      <c r="L3" t="str">
        <f t="shared" ref="L3:L66" si="0">IF(TRIM(C3)="","Unassigned", PROPER(TRIM(C3)))</f>
        <v>Unassigned</v>
      </c>
      <c r="M3" t="str">
        <f t="shared" ref="M3:M66" si="1">IF(TRIM(D3)="","Unknown",PROPER(TRIM(D3)))</f>
        <v>West</v>
      </c>
      <c r="N3" t="str">
        <f t="shared" ref="N3:N66" si="2">IF(TRIM(E3)="","Unknown", PROPER(TRIM(E3)))</f>
        <v>Bengaluru</v>
      </c>
      <c r="O3" t="str">
        <f t="shared" ref="O3:O66" si="3">IF(TRIM(F3)="","Unknown",PROPER(TRIM(F3)))</f>
        <v>Startup</v>
      </c>
      <c r="P3" s="4" t="str">
        <f t="shared" ref="P3:P66" si="4">IF(TRIM(H3)="","Unknown",TRIM(H3))</f>
        <v>Online</v>
      </c>
      <c r="Q3">
        <f t="shared" ref="Q3:Q66" si="5">IFERROR(J3,0)</f>
        <v>9572.6</v>
      </c>
      <c r="R3" s="6">
        <f t="shared" ref="R3:R66" si="6">I3-Q3</f>
        <v>-1312.7000000000007</v>
      </c>
      <c r="S3">
        <f t="shared" ref="S3:S66" si="7">IFERROR(R3/I3,0)</f>
        <v>-0.15892444218453017</v>
      </c>
      <c r="T3">
        <f t="shared" ref="T3:T66" si="8">IFERROR(I3/K3,0)</f>
        <v>0.10484432333466864</v>
      </c>
      <c r="U3">
        <f t="shared" ref="U3:U66" si="9">I3-K3</f>
        <v>-70522.62000000001</v>
      </c>
      <c r="V3" t="str">
        <f t="shared" ref="V3:V66" si="10">IF(R3&lt;0,"Unprofitable","Profitable")</f>
        <v>Unprofitable</v>
      </c>
      <c r="W3" t="str" cm="1">
        <f t="array" ref="W3">_xlfn.IFS(S3&lt;0,"Loss", S3&lt;0.15,"Low Margin",S3&lt;0.3,"Medium High", TRUE, "High Margin")</f>
        <v>Loss</v>
      </c>
      <c r="X3" t="str">
        <f t="shared" ref="X3:X66" si="11">TEXT(B3,"MM-YYYY")</f>
        <v>03-2024</v>
      </c>
    </row>
    <row r="4" spans="1:24" x14ac:dyDescent="0.3">
      <c r="A4">
        <v>10270</v>
      </c>
      <c r="B4" s="1">
        <v>45390</v>
      </c>
      <c r="C4" t="s">
        <v>22</v>
      </c>
      <c r="D4" t="s">
        <v>23</v>
      </c>
      <c r="E4" t="s">
        <v>24</v>
      </c>
      <c r="F4" t="s">
        <v>19</v>
      </c>
      <c r="G4" t="s">
        <v>15</v>
      </c>
      <c r="H4" t="s">
        <v>21</v>
      </c>
      <c r="I4">
        <v>65561.7</v>
      </c>
      <c r="J4">
        <v>60458.2</v>
      </c>
      <c r="K4">
        <v>33922.75</v>
      </c>
      <c r="L4" t="str">
        <f t="shared" si="0"/>
        <v>Amit</v>
      </c>
      <c r="M4" t="str">
        <f t="shared" si="1"/>
        <v>West</v>
      </c>
      <c r="N4" t="str">
        <f t="shared" si="2"/>
        <v>Chennai</v>
      </c>
      <c r="O4" t="str">
        <f t="shared" si="3"/>
        <v>Startup</v>
      </c>
      <c r="P4" s="4" t="str">
        <f t="shared" si="4"/>
        <v>Online</v>
      </c>
      <c r="Q4">
        <f t="shared" si="5"/>
        <v>60458.2</v>
      </c>
      <c r="R4" s="6">
        <f t="shared" si="6"/>
        <v>5103.5</v>
      </c>
      <c r="S4">
        <f t="shared" si="7"/>
        <v>7.7842703895719609E-2</v>
      </c>
      <c r="T4">
        <f t="shared" si="8"/>
        <v>1.932676448695934</v>
      </c>
      <c r="U4">
        <f t="shared" si="9"/>
        <v>31638.949999999997</v>
      </c>
      <c r="V4" t="str">
        <f t="shared" si="10"/>
        <v>Profitable</v>
      </c>
      <c r="W4" t="str" cm="1">
        <f t="array" ref="W4">_xlfn.IFS(S4&lt;0,"Loss", S4&lt;0.15,"Low Margin",S4&lt;0.3,"Medium High", TRUE, "High Margin")</f>
        <v>Low Margin</v>
      </c>
      <c r="X4" t="str">
        <f t="shared" si="11"/>
        <v>04-2024</v>
      </c>
    </row>
    <row r="5" spans="1:24" x14ac:dyDescent="0.3">
      <c r="A5">
        <v>10106</v>
      </c>
      <c r="B5" s="1">
        <v>45316</v>
      </c>
      <c r="C5" t="s">
        <v>25</v>
      </c>
      <c r="E5" t="s">
        <v>26</v>
      </c>
      <c r="G5" t="s">
        <v>27</v>
      </c>
      <c r="H5" t="s">
        <v>28</v>
      </c>
      <c r="I5">
        <v>132120.07999999999</v>
      </c>
      <c r="J5">
        <v>111471.94</v>
      </c>
      <c r="K5">
        <v>109085.59</v>
      </c>
      <c r="L5" t="str">
        <f t="shared" si="0"/>
        <v>Priya</v>
      </c>
      <c r="M5" t="str">
        <f t="shared" si="1"/>
        <v>Unknown</v>
      </c>
      <c r="N5" t="str">
        <f t="shared" si="2"/>
        <v>Mumbai</v>
      </c>
      <c r="O5" t="str">
        <f t="shared" si="3"/>
        <v>Unknown</v>
      </c>
      <c r="P5" s="4" t="str">
        <f t="shared" si="4"/>
        <v>Direct</v>
      </c>
      <c r="Q5">
        <f t="shared" si="5"/>
        <v>111471.94</v>
      </c>
      <c r="R5" s="6">
        <f t="shared" si="6"/>
        <v>20648.139999999985</v>
      </c>
      <c r="S5">
        <f t="shared" si="7"/>
        <v>0.1562831327380364</v>
      </c>
      <c r="T5">
        <f t="shared" si="8"/>
        <v>1.2111597874659705</v>
      </c>
      <c r="U5">
        <f t="shared" si="9"/>
        <v>23034.489999999991</v>
      </c>
      <c r="V5" t="str">
        <f t="shared" si="10"/>
        <v>Profitable</v>
      </c>
      <c r="W5" t="str" cm="1">
        <f t="array" ref="W5">_xlfn.IFS(S5&lt;0,"Loss", S5&lt;0.15,"Low Margin",S5&lt;0.3,"Medium High", TRUE, "High Margin")</f>
        <v>Medium High</v>
      </c>
      <c r="X5" t="str">
        <f t="shared" si="11"/>
        <v>01-2024</v>
      </c>
    </row>
    <row r="6" spans="1:24" x14ac:dyDescent="0.3">
      <c r="A6">
        <v>10071</v>
      </c>
      <c r="B6" s="1">
        <v>45344</v>
      </c>
      <c r="C6" t="s">
        <v>29</v>
      </c>
      <c r="D6" t="s">
        <v>12</v>
      </c>
      <c r="E6" t="s">
        <v>13</v>
      </c>
      <c r="F6" t="s">
        <v>19</v>
      </c>
      <c r="G6" t="s">
        <v>15</v>
      </c>
      <c r="I6">
        <v>195045.33</v>
      </c>
      <c r="K6">
        <v>155219.34</v>
      </c>
      <c r="L6" t="str">
        <f t="shared" si="0"/>
        <v>Sneha</v>
      </c>
      <c r="M6" t="str">
        <f t="shared" si="1"/>
        <v>South</v>
      </c>
      <c r="N6" t="str">
        <f t="shared" si="2"/>
        <v>Bengaluru</v>
      </c>
      <c r="O6" t="str">
        <f t="shared" si="3"/>
        <v>Startup</v>
      </c>
      <c r="P6" s="4" t="str">
        <f t="shared" si="4"/>
        <v>Unknown</v>
      </c>
      <c r="Q6">
        <f t="shared" si="5"/>
        <v>0</v>
      </c>
      <c r="R6" s="6">
        <f t="shared" si="6"/>
        <v>195045.33</v>
      </c>
      <c r="S6">
        <f t="shared" si="7"/>
        <v>1</v>
      </c>
      <c r="T6">
        <f t="shared" si="8"/>
        <v>1.2565787871537142</v>
      </c>
      <c r="U6">
        <f t="shared" si="9"/>
        <v>39825.989999999991</v>
      </c>
      <c r="V6" t="str">
        <f t="shared" si="10"/>
        <v>Profitable</v>
      </c>
      <c r="W6" t="str" cm="1">
        <f t="array" ref="W6">_xlfn.IFS(S6&lt;0,"Loss", S6&lt;0.15,"Low Margin",S6&lt;0.3,"Medium High", TRUE, "High Margin")</f>
        <v>High Margin</v>
      </c>
      <c r="X6" t="str">
        <f t="shared" si="11"/>
        <v>02-2024</v>
      </c>
    </row>
    <row r="7" spans="1:24" x14ac:dyDescent="0.3">
      <c r="A7">
        <v>10020</v>
      </c>
      <c r="B7" s="1">
        <v>45442</v>
      </c>
      <c r="C7" t="s">
        <v>30</v>
      </c>
      <c r="D7" t="s">
        <v>31</v>
      </c>
      <c r="E7" t="s">
        <v>13</v>
      </c>
      <c r="F7" t="s">
        <v>32</v>
      </c>
      <c r="G7" t="s">
        <v>20</v>
      </c>
      <c r="H7" t="s">
        <v>33</v>
      </c>
      <c r="I7">
        <v>170635.68</v>
      </c>
      <c r="J7">
        <v>92439.57</v>
      </c>
      <c r="K7">
        <v>147348.22</v>
      </c>
      <c r="L7" t="str">
        <f t="shared" si="0"/>
        <v>Ankit</v>
      </c>
      <c r="M7" t="str">
        <f t="shared" si="1"/>
        <v>South</v>
      </c>
      <c r="N7" t="str">
        <f t="shared" si="2"/>
        <v>Bengaluru</v>
      </c>
      <c r="O7" t="str">
        <f t="shared" si="3"/>
        <v>Smb</v>
      </c>
      <c r="P7" s="4" t="str">
        <f t="shared" si="4"/>
        <v>Partner</v>
      </c>
      <c r="Q7">
        <f t="shared" si="5"/>
        <v>92439.57</v>
      </c>
      <c r="R7" s="6">
        <f t="shared" si="6"/>
        <v>78196.109999999986</v>
      </c>
      <c r="S7">
        <f t="shared" si="7"/>
        <v>0.45826353550441495</v>
      </c>
      <c r="T7">
        <f t="shared" si="8"/>
        <v>1.158043714406594</v>
      </c>
      <c r="U7">
        <f t="shared" si="9"/>
        <v>23287.459999999992</v>
      </c>
      <c r="V7" t="str">
        <f t="shared" si="10"/>
        <v>Profitable</v>
      </c>
      <c r="W7" t="str" cm="1">
        <f t="array" ref="W7">_xlfn.IFS(S7&lt;0,"Loss", S7&lt;0.15,"Low Margin",S7&lt;0.3,"Medium High", TRUE, "High Margin")</f>
        <v>High Margin</v>
      </c>
      <c r="X7" t="str">
        <f t="shared" si="11"/>
        <v>05-2024</v>
      </c>
    </row>
    <row r="8" spans="1:24" x14ac:dyDescent="0.3">
      <c r="A8">
        <v>10121</v>
      </c>
      <c r="B8" s="1">
        <v>45435</v>
      </c>
      <c r="C8" t="s">
        <v>11</v>
      </c>
      <c r="D8" t="s">
        <v>34</v>
      </c>
      <c r="E8" t="s">
        <v>35</v>
      </c>
      <c r="F8" t="s">
        <v>32</v>
      </c>
      <c r="G8" t="s">
        <v>20</v>
      </c>
      <c r="I8">
        <v>12530.23</v>
      </c>
      <c r="J8">
        <v>50931.51</v>
      </c>
      <c r="K8">
        <v>48019.7</v>
      </c>
      <c r="L8" t="str">
        <f t="shared" si="0"/>
        <v>Rahul</v>
      </c>
      <c r="M8" t="str">
        <f t="shared" si="1"/>
        <v>East</v>
      </c>
      <c r="N8" t="str">
        <f t="shared" si="2"/>
        <v>Hyderabad</v>
      </c>
      <c r="O8" t="str">
        <f t="shared" si="3"/>
        <v>Smb</v>
      </c>
      <c r="P8" s="4" t="str">
        <f t="shared" si="4"/>
        <v>Unknown</v>
      </c>
      <c r="Q8">
        <f t="shared" si="5"/>
        <v>50931.51</v>
      </c>
      <c r="R8" s="6">
        <f t="shared" si="6"/>
        <v>-38401.279999999999</v>
      </c>
      <c r="S8">
        <f t="shared" si="7"/>
        <v>-3.0646907518856397</v>
      </c>
      <c r="T8">
        <f t="shared" si="8"/>
        <v>0.26093936446916577</v>
      </c>
      <c r="U8">
        <f t="shared" si="9"/>
        <v>-35489.47</v>
      </c>
      <c r="V8" t="str">
        <f t="shared" si="10"/>
        <v>Unprofitable</v>
      </c>
      <c r="W8" t="str" cm="1">
        <f t="array" ref="W8">_xlfn.IFS(S8&lt;0,"Loss", S8&lt;0.15,"Low Margin",S8&lt;0.3,"Medium High", TRUE, "High Margin")</f>
        <v>Loss</v>
      </c>
      <c r="X8" t="str">
        <f t="shared" si="11"/>
        <v>05-2024</v>
      </c>
    </row>
    <row r="9" spans="1:24" x14ac:dyDescent="0.3">
      <c r="A9">
        <v>10466</v>
      </c>
      <c r="B9" s="1">
        <v>45348</v>
      </c>
      <c r="C9" t="s">
        <v>36</v>
      </c>
      <c r="D9" t="s">
        <v>37</v>
      </c>
      <c r="E9" t="s">
        <v>38</v>
      </c>
      <c r="F9" t="s">
        <v>39</v>
      </c>
      <c r="G9" t="s">
        <v>15</v>
      </c>
      <c r="I9">
        <v>180523.64</v>
      </c>
      <c r="J9">
        <v>79655.320000000007</v>
      </c>
      <c r="K9">
        <v>127642.34</v>
      </c>
      <c r="L9" t="str">
        <f t="shared" si="0"/>
        <v>Amit</v>
      </c>
      <c r="M9" t="str">
        <f t="shared" si="1"/>
        <v>North</v>
      </c>
      <c r="N9" t="str">
        <f t="shared" si="2"/>
        <v>Delhi</v>
      </c>
      <c r="O9" t="str">
        <f t="shared" si="3"/>
        <v>Enterprise</v>
      </c>
      <c r="P9" s="4" t="str">
        <f t="shared" si="4"/>
        <v>Unknown</v>
      </c>
      <c r="Q9">
        <f t="shared" si="5"/>
        <v>79655.320000000007</v>
      </c>
      <c r="R9" s="6">
        <f t="shared" si="6"/>
        <v>100868.32</v>
      </c>
      <c r="S9">
        <f t="shared" si="7"/>
        <v>0.55875407785927644</v>
      </c>
      <c r="T9">
        <f t="shared" si="8"/>
        <v>1.4142927809063985</v>
      </c>
      <c r="U9">
        <f t="shared" si="9"/>
        <v>52881.300000000017</v>
      </c>
      <c r="V9" t="str">
        <f t="shared" si="10"/>
        <v>Profitable</v>
      </c>
      <c r="W9" t="str" cm="1">
        <f t="array" ref="W9">_xlfn.IFS(S9&lt;0,"Loss", S9&lt;0.15,"Low Margin",S9&lt;0.3,"Medium High", TRUE, "High Margin")</f>
        <v>High Margin</v>
      </c>
      <c r="X9" t="str">
        <f t="shared" si="11"/>
        <v>02-2024</v>
      </c>
    </row>
    <row r="10" spans="1:24" x14ac:dyDescent="0.3">
      <c r="A10">
        <v>10214</v>
      </c>
      <c r="B10" s="1">
        <v>45330</v>
      </c>
      <c r="C10" t="s">
        <v>36</v>
      </c>
      <c r="D10" t="s">
        <v>37</v>
      </c>
      <c r="E10" t="s">
        <v>24</v>
      </c>
      <c r="F10" t="s">
        <v>32</v>
      </c>
      <c r="G10" t="s">
        <v>40</v>
      </c>
      <c r="H10" t="s">
        <v>28</v>
      </c>
      <c r="I10">
        <v>158374.1</v>
      </c>
      <c r="J10">
        <v>33447.68</v>
      </c>
      <c r="K10">
        <v>55280.68</v>
      </c>
      <c r="L10" t="str">
        <f t="shared" si="0"/>
        <v>Amit</v>
      </c>
      <c r="M10" t="str">
        <f t="shared" si="1"/>
        <v>North</v>
      </c>
      <c r="N10" t="str">
        <f t="shared" si="2"/>
        <v>Chennai</v>
      </c>
      <c r="O10" t="str">
        <f t="shared" si="3"/>
        <v>Smb</v>
      </c>
      <c r="P10" s="4" t="str">
        <f t="shared" si="4"/>
        <v>Direct</v>
      </c>
      <c r="Q10">
        <f t="shared" si="5"/>
        <v>33447.68</v>
      </c>
      <c r="R10" s="6">
        <f t="shared" si="6"/>
        <v>124926.42000000001</v>
      </c>
      <c r="S10">
        <f t="shared" si="7"/>
        <v>0.78880587166714766</v>
      </c>
      <c r="T10">
        <f t="shared" si="8"/>
        <v>2.8649086805733939</v>
      </c>
      <c r="U10">
        <f t="shared" si="9"/>
        <v>103093.42000000001</v>
      </c>
      <c r="V10" t="str">
        <f t="shared" si="10"/>
        <v>Profitable</v>
      </c>
      <c r="W10" t="str" cm="1">
        <f t="array" ref="W10">_xlfn.IFS(S10&lt;0,"Loss", S10&lt;0.15,"Low Margin",S10&lt;0.3,"Medium High", TRUE, "High Margin")</f>
        <v>High Margin</v>
      </c>
      <c r="X10" t="str">
        <f t="shared" si="11"/>
        <v>02-2024</v>
      </c>
    </row>
    <row r="11" spans="1:24" x14ac:dyDescent="0.3">
      <c r="A11">
        <v>10330</v>
      </c>
      <c r="B11" s="1">
        <v>45400</v>
      </c>
      <c r="C11" t="s">
        <v>29</v>
      </c>
      <c r="D11" t="s">
        <v>17</v>
      </c>
      <c r="E11" t="s">
        <v>35</v>
      </c>
      <c r="F11" t="s">
        <v>19</v>
      </c>
      <c r="G11" t="s">
        <v>27</v>
      </c>
      <c r="H11" t="s">
        <v>28</v>
      </c>
      <c r="I11">
        <v>157832.22</v>
      </c>
      <c r="J11">
        <v>21660.59</v>
      </c>
      <c r="K11">
        <v>54913.21</v>
      </c>
      <c r="L11" t="str">
        <f t="shared" si="0"/>
        <v>Sneha</v>
      </c>
      <c r="M11" t="str">
        <f t="shared" si="1"/>
        <v>West</v>
      </c>
      <c r="N11" t="str">
        <f t="shared" si="2"/>
        <v>Hyderabad</v>
      </c>
      <c r="O11" t="str">
        <f t="shared" si="3"/>
        <v>Startup</v>
      </c>
      <c r="P11" s="4" t="str">
        <f t="shared" si="4"/>
        <v>Direct</v>
      </c>
      <c r="Q11">
        <f t="shared" si="5"/>
        <v>21660.59</v>
      </c>
      <c r="R11" s="6">
        <f t="shared" si="6"/>
        <v>136171.63</v>
      </c>
      <c r="S11">
        <f t="shared" si="7"/>
        <v>0.86276192529003271</v>
      </c>
      <c r="T11">
        <f t="shared" si="8"/>
        <v>2.8742122341782608</v>
      </c>
      <c r="U11">
        <f t="shared" si="9"/>
        <v>102919.01000000001</v>
      </c>
      <c r="V11" t="str">
        <f t="shared" si="10"/>
        <v>Profitable</v>
      </c>
      <c r="W11" t="str" cm="1">
        <f t="array" ref="W11">_xlfn.IFS(S11&lt;0,"Loss", S11&lt;0.15,"Low Margin",S11&lt;0.3,"Medium High", TRUE, "High Margin")</f>
        <v>High Margin</v>
      </c>
      <c r="X11" t="str">
        <f t="shared" si="11"/>
        <v>04-2024</v>
      </c>
    </row>
    <row r="12" spans="1:24" x14ac:dyDescent="0.3">
      <c r="A12">
        <v>10458</v>
      </c>
      <c r="B12" s="1">
        <v>45472</v>
      </c>
      <c r="C12" t="s">
        <v>41</v>
      </c>
      <c r="D12" t="s">
        <v>12</v>
      </c>
      <c r="E12" t="s">
        <v>18</v>
      </c>
      <c r="F12" t="s">
        <v>32</v>
      </c>
      <c r="G12" t="s">
        <v>42</v>
      </c>
      <c r="H12" t="s">
        <v>28</v>
      </c>
      <c r="I12">
        <v>95935.19</v>
      </c>
      <c r="J12">
        <v>21774.13</v>
      </c>
      <c r="K12">
        <v>159851.48000000001</v>
      </c>
      <c r="L12" t="str">
        <f t="shared" si="0"/>
        <v>Neha</v>
      </c>
      <c r="M12" t="str">
        <f t="shared" si="1"/>
        <v>South</v>
      </c>
      <c r="N12" t="str">
        <f t="shared" si="2"/>
        <v>Bengaluru</v>
      </c>
      <c r="O12" t="str">
        <f t="shared" si="3"/>
        <v>Smb</v>
      </c>
      <c r="P12" s="4" t="str">
        <f t="shared" si="4"/>
        <v>Direct</v>
      </c>
      <c r="Q12">
        <f t="shared" si="5"/>
        <v>21774.13</v>
      </c>
      <c r="R12" s="6">
        <f t="shared" si="6"/>
        <v>74161.06</v>
      </c>
      <c r="S12">
        <f t="shared" si="7"/>
        <v>0.77303291941153185</v>
      </c>
      <c r="T12">
        <f t="shared" si="8"/>
        <v>0.60015202862056705</v>
      </c>
      <c r="U12">
        <f t="shared" si="9"/>
        <v>-63916.290000000008</v>
      </c>
      <c r="V12" t="str">
        <f t="shared" si="10"/>
        <v>Profitable</v>
      </c>
      <c r="W12" t="str" cm="1">
        <f t="array" ref="W12">_xlfn.IFS(S12&lt;0,"Loss", S12&lt;0.15,"Low Margin",S12&lt;0.3,"Medium High", TRUE, "High Margin")</f>
        <v>High Margin</v>
      </c>
      <c r="X12" t="str">
        <f t="shared" si="11"/>
        <v>06-2024</v>
      </c>
    </row>
    <row r="13" spans="1:24" x14ac:dyDescent="0.3">
      <c r="A13">
        <v>10087</v>
      </c>
      <c r="B13" s="1">
        <v>45333</v>
      </c>
      <c r="C13" t="s">
        <v>30</v>
      </c>
      <c r="E13" t="s">
        <v>18</v>
      </c>
      <c r="G13" t="s">
        <v>43</v>
      </c>
      <c r="H13" t="s">
        <v>16</v>
      </c>
      <c r="I13">
        <v>84417.02</v>
      </c>
      <c r="J13">
        <v>11247.56</v>
      </c>
      <c r="K13">
        <v>59947.03</v>
      </c>
      <c r="L13" t="str">
        <f t="shared" si="0"/>
        <v>Ankit</v>
      </c>
      <c r="M13" t="str">
        <f t="shared" si="1"/>
        <v>Unknown</v>
      </c>
      <c r="N13" t="str">
        <f t="shared" si="2"/>
        <v>Bengaluru</v>
      </c>
      <c r="O13" t="str">
        <f t="shared" si="3"/>
        <v>Unknown</v>
      </c>
      <c r="P13" s="4" t="str">
        <f t="shared" si="4"/>
        <v>direct</v>
      </c>
      <c r="Q13">
        <f t="shared" si="5"/>
        <v>11247.56</v>
      </c>
      <c r="R13" s="6">
        <f t="shared" si="6"/>
        <v>73169.460000000006</v>
      </c>
      <c r="S13">
        <f t="shared" si="7"/>
        <v>0.86676193971310533</v>
      </c>
      <c r="T13">
        <f t="shared" si="8"/>
        <v>1.4081935335245133</v>
      </c>
      <c r="U13">
        <f t="shared" si="9"/>
        <v>24469.990000000005</v>
      </c>
      <c r="V13" t="str">
        <f t="shared" si="10"/>
        <v>Profitable</v>
      </c>
      <c r="W13" t="str" cm="1">
        <f t="array" ref="W13">_xlfn.IFS(S13&lt;0,"Loss", S13&lt;0.15,"Low Margin",S13&lt;0.3,"Medium High", TRUE, "High Margin")</f>
        <v>High Margin</v>
      </c>
      <c r="X13" t="str">
        <f t="shared" si="11"/>
        <v>02-2024</v>
      </c>
    </row>
    <row r="14" spans="1:24" x14ac:dyDescent="0.3">
      <c r="A14">
        <v>10372</v>
      </c>
      <c r="B14" s="1">
        <v>45477</v>
      </c>
      <c r="C14" t="s">
        <v>36</v>
      </c>
      <c r="D14" t="s">
        <v>17</v>
      </c>
      <c r="E14" t="s">
        <v>18</v>
      </c>
      <c r="F14" t="s">
        <v>39</v>
      </c>
      <c r="G14" t="s">
        <v>20</v>
      </c>
      <c r="I14">
        <v>66159.820000000007</v>
      </c>
      <c r="J14">
        <v>24720.66</v>
      </c>
      <c r="K14">
        <v>62119.58</v>
      </c>
      <c r="L14" t="str">
        <f t="shared" si="0"/>
        <v>Amit</v>
      </c>
      <c r="M14" t="str">
        <f t="shared" si="1"/>
        <v>West</v>
      </c>
      <c r="N14" t="str">
        <f t="shared" si="2"/>
        <v>Bengaluru</v>
      </c>
      <c r="O14" t="str">
        <f t="shared" si="3"/>
        <v>Enterprise</v>
      </c>
      <c r="P14" s="4" t="str">
        <f t="shared" si="4"/>
        <v>Unknown</v>
      </c>
      <c r="Q14">
        <f t="shared" si="5"/>
        <v>24720.66</v>
      </c>
      <c r="R14" s="6">
        <f t="shared" si="6"/>
        <v>41439.160000000003</v>
      </c>
      <c r="S14">
        <f t="shared" si="7"/>
        <v>0.62634934617415827</v>
      </c>
      <c r="T14">
        <f t="shared" si="8"/>
        <v>1.0650397185557277</v>
      </c>
      <c r="U14">
        <f t="shared" si="9"/>
        <v>4040.2400000000052</v>
      </c>
      <c r="V14" t="str">
        <f t="shared" si="10"/>
        <v>Profitable</v>
      </c>
      <c r="W14" t="str" cm="1">
        <f t="array" ref="W14">_xlfn.IFS(S14&lt;0,"Loss", S14&lt;0.15,"Low Margin",S14&lt;0.3,"Medium High", TRUE, "High Margin")</f>
        <v>High Margin</v>
      </c>
      <c r="X14" t="str">
        <f t="shared" si="11"/>
        <v>07-2024</v>
      </c>
    </row>
    <row r="15" spans="1:24" x14ac:dyDescent="0.3">
      <c r="A15">
        <v>10099</v>
      </c>
      <c r="B15" s="1">
        <v>45514</v>
      </c>
      <c r="C15" t="s">
        <v>22</v>
      </c>
      <c r="D15" t="s">
        <v>34</v>
      </c>
      <c r="F15" t="s">
        <v>19</v>
      </c>
      <c r="G15" t="s">
        <v>43</v>
      </c>
      <c r="H15" t="s">
        <v>21</v>
      </c>
      <c r="I15">
        <v>20613.41</v>
      </c>
      <c r="J15">
        <v>80713.67</v>
      </c>
      <c r="K15">
        <v>20104.54</v>
      </c>
      <c r="L15" t="str">
        <f t="shared" si="0"/>
        <v>Amit</v>
      </c>
      <c r="M15" t="str">
        <f t="shared" si="1"/>
        <v>East</v>
      </c>
      <c r="N15" t="str">
        <f t="shared" si="2"/>
        <v>Unknown</v>
      </c>
      <c r="O15" t="str">
        <f t="shared" si="3"/>
        <v>Startup</v>
      </c>
      <c r="P15" s="4" t="str">
        <f t="shared" si="4"/>
        <v>Online</v>
      </c>
      <c r="Q15">
        <f t="shared" si="5"/>
        <v>80713.67</v>
      </c>
      <c r="R15" s="6">
        <f t="shared" si="6"/>
        <v>-60100.259999999995</v>
      </c>
      <c r="S15">
        <f t="shared" si="7"/>
        <v>-2.9155903850939748</v>
      </c>
      <c r="T15">
        <f t="shared" si="8"/>
        <v>1.02531119836614</v>
      </c>
      <c r="U15">
        <f t="shared" si="9"/>
        <v>508.86999999999898</v>
      </c>
      <c r="V15" t="str">
        <f t="shared" si="10"/>
        <v>Unprofitable</v>
      </c>
      <c r="W15" t="str" cm="1">
        <f t="array" ref="W15">_xlfn.IFS(S15&lt;0,"Loss", S15&lt;0.15,"Low Margin",S15&lt;0.3,"Medium High", TRUE, "High Margin")</f>
        <v>Loss</v>
      </c>
      <c r="X15" t="str">
        <f t="shared" si="11"/>
        <v>08-2024</v>
      </c>
    </row>
    <row r="16" spans="1:24" x14ac:dyDescent="0.3">
      <c r="A16">
        <v>10130</v>
      </c>
      <c r="B16" s="1">
        <v>45413</v>
      </c>
      <c r="C16" t="s">
        <v>36</v>
      </c>
      <c r="D16" t="s">
        <v>17</v>
      </c>
      <c r="E16" t="s">
        <v>18</v>
      </c>
      <c r="F16" t="s">
        <v>39</v>
      </c>
      <c r="G16" t="s">
        <v>42</v>
      </c>
      <c r="H16" t="s">
        <v>33</v>
      </c>
      <c r="I16">
        <v>51821.19</v>
      </c>
      <c r="J16">
        <v>106157.8</v>
      </c>
      <c r="K16">
        <v>159307.04999999999</v>
      </c>
      <c r="L16" t="str">
        <f t="shared" si="0"/>
        <v>Amit</v>
      </c>
      <c r="M16" t="str">
        <f t="shared" si="1"/>
        <v>West</v>
      </c>
      <c r="N16" t="str">
        <f t="shared" si="2"/>
        <v>Bengaluru</v>
      </c>
      <c r="O16" t="str">
        <f t="shared" si="3"/>
        <v>Enterprise</v>
      </c>
      <c r="P16" s="4" t="str">
        <f t="shared" si="4"/>
        <v>Partner</v>
      </c>
      <c r="Q16">
        <f t="shared" si="5"/>
        <v>106157.8</v>
      </c>
      <c r="R16" s="6">
        <f t="shared" si="6"/>
        <v>-54336.61</v>
      </c>
      <c r="S16">
        <f t="shared" si="7"/>
        <v>-1.0485403750859446</v>
      </c>
      <c r="T16">
        <f t="shared" si="8"/>
        <v>0.32529125358858885</v>
      </c>
      <c r="U16">
        <f t="shared" si="9"/>
        <v>-107485.85999999999</v>
      </c>
      <c r="V16" t="str">
        <f t="shared" si="10"/>
        <v>Unprofitable</v>
      </c>
      <c r="W16" t="str" cm="1">
        <f t="array" ref="W16">_xlfn.IFS(S16&lt;0,"Loss", S16&lt;0.15,"Low Margin",S16&lt;0.3,"Medium High", TRUE, "High Margin")</f>
        <v>Loss</v>
      </c>
      <c r="X16" t="str">
        <f t="shared" si="11"/>
        <v>05-2024</v>
      </c>
    </row>
    <row r="17" spans="1:24" x14ac:dyDescent="0.3">
      <c r="A17">
        <v>10308</v>
      </c>
      <c r="B17" s="1">
        <v>45424</v>
      </c>
      <c r="C17" t="s">
        <v>25</v>
      </c>
      <c r="D17" t="s">
        <v>23</v>
      </c>
      <c r="E17" t="s">
        <v>38</v>
      </c>
      <c r="F17" t="s">
        <v>19</v>
      </c>
      <c r="G17" t="s">
        <v>43</v>
      </c>
      <c r="H17" t="s">
        <v>16</v>
      </c>
      <c r="I17">
        <v>55347.9</v>
      </c>
      <c r="J17">
        <v>98252.71</v>
      </c>
      <c r="K17">
        <v>146815.17000000001</v>
      </c>
      <c r="L17" t="str">
        <f t="shared" si="0"/>
        <v>Priya</v>
      </c>
      <c r="M17" t="str">
        <f t="shared" si="1"/>
        <v>West</v>
      </c>
      <c r="N17" t="str">
        <f t="shared" si="2"/>
        <v>Delhi</v>
      </c>
      <c r="O17" t="str">
        <f t="shared" si="3"/>
        <v>Startup</v>
      </c>
      <c r="P17" s="4" t="str">
        <f t="shared" si="4"/>
        <v>direct</v>
      </c>
      <c r="Q17">
        <f t="shared" si="5"/>
        <v>98252.71</v>
      </c>
      <c r="R17" s="6">
        <f t="shared" si="6"/>
        <v>-42904.810000000005</v>
      </c>
      <c r="S17">
        <f t="shared" si="7"/>
        <v>-0.77518406299064646</v>
      </c>
      <c r="T17">
        <f t="shared" si="8"/>
        <v>0.37699033417323291</v>
      </c>
      <c r="U17">
        <f t="shared" si="9"/>
        <v>-91467.270000000019</v>
      </c>
      <c r="V17" t="str">
        <f t="shared" si="10"/>
        <v>Unprofitable</v>
      </c>
      <c r="W17" t="str" cm="1">
        <f t="array" ref="W17">_xlfn.IFS(S17&lt;0,"Loss", S17&lt;0.15,"Low Margin",S17&lt;0.3,"Medium High", TRUE, "High Margin")</f>
        <v>Loss</v>
      </c>
      <c r="X17" t="str">
        <f t="shared" si="11"/>
        <v>05-2024</v>
      </c>
    </row>
    <row r="18" spans="1:24" x14ac:dyDescent="0.3">
      <c r="A18">
        <v>10343</v>
      </c>
      <c r="B18" s="1">
        <v>45454</v>
      </c>
      <c r="D18" t="s">
        <v>37</v>
      </c>
      <c r="E18" t="s">
        <v>24</v>
      </c>
      <c r="G18" t="s">
        <v>42</v>
      </c>
      <c r="H18" t="s">
        <v>21</v>
      </c>
      <c r="I18">
        <v>100942.8</v>
      </c>
      <c r="J18">
        <v>83160.710000000006</v>
      </c>
      <c r="K18">
        <v>120372.63</v>
      </c>
      <c r="L18" t="str">
        <f t="shared" si="0"/>
        <v>Unassigned</v>
      </c>
      <c r="M18" t="str">
        <f t="shared" si="1"/>
        <v>North</v>
      </c>
      <c r="N18" t="str">
        <f t="shared" si="2"/>
        <v>Chennai</v>
      </c>
      <c r="O18" t="str">
        <f t="shared" si="3"/>
        <v>Unknown</v>
      </c>
      <c r="P18" s="4" t="str">
        <f t="shared" si="4"/>
        <v>Online</v>
      </c>
      <c r="Q18">
        <f t="shared" si="5"/>
        <v>83160.710000000006</v>
      </c>
      <c r="R18" s="6">
        <f t="shared" si="6"/>
        <v>17782.089999999997</v>
      </c>
      <c r="S18">
        <f t="shared" si="7"/>
        <v>0.17616006292672678</v>
      </c>
      <c r="T18">
        <f t="shared" si="8"/>
        <v>0.83858598088286351</v>
      </c>
      <c r="U18">
        <f t="shared" si="9"/>
        <v>-19429.830000000002</v>
      </c>
      <c r="V18" t="str">
        <f t="shared" si="10"/>
        <v>Profitable</v>
      </c>
      <c r="W18" t="str" cm="1">
        <f t="array" ref="W18">_xlfn.IFS(S18&lt;0,"Loss", S18&lt;0.15,"Low Margin",S18&lt;0.3,"Medium High", TRUE, "High Margin")</f>
        <v>Medium High</v>
      </c>
      <c r="X18" t="str">
        <f t="shared" si="11"/>
        <v>06-2024</v>
      </c>
    </row>
    <row r="19" spans="1:24" x14ac:dyDescent="0.3">
      <c r="A19">
        <v>10491</v>
      </c>
      <c r="B19" s="1">
        <v>45506</v>
      </c>
      <c r="C19" t="s">
        <v>36</v>
      </c>
      <c r="D19" t="s">
        <v>37</v>
      </c>
      <c r="E19" t="s">
        <v>44</v>
      </c>
      <c r="F19" t="s">
        <v>39</v>
      </c>
      <c r="G19" t="s">
        <v>15</v>
      </c>
      <c r="I19">
        <v>151509.32999999999</v>
      </c>
      <c r="J19">
        <v>15920.53</v>
      </c>
      <c r="K19">
        <v>140042.51999999999</v>
      </c>
      <c r="L19" t="str">
        <f t="shared" si="0"/>
        <v>Amit</v>
      </c>
      <c r="M19" t="str">
        <f t="shared" si="1"/>
        <v>North</v>
      </c>
      <c r="N19" t="str">
        <f t="shared" si="2"/>
        <v>Pune</v>
      </c>
      <c r="O19" t="str">
        <f t="shared" si="3"/>
        <v>Enterprise</v>
      </c>
      <c r="P19" s="4" t="str">
        <f t="shared" si="4"/>
        <v>Unknown</v>
      </c>
      <c r="Q19">
        <f t="shared" si="5"/>
        <v>15920.53</v>
      </c>
      <c r="R19" s="6">
        <f t="shared" si="6"/>
        <v>135588.79999999999</v>
      </c>
      <c r="S19">
        <f t="shared" si="7"/>
        <v>0.89492046463409214</v>
      </c>
      <c r="T19">
        <f t="shared" si="8"/>
        <v>1.0818809173099713</v>
      </c>
      <c r="U19">
        <f t="shared" si="9"/>
        <v>11466.809999999998</v>
      </c>
      <c r="V19" t="str">
        <f t="shared" si="10"/>
        <v>Profitable</v>
      </c>
      <c r="W19" t="str" cm="1">
        <f t="array" ref="W19">_xlfn.IFS(S19&lt;0,"Loss", S19&lt;0.15,"Low Margin",S19&lt;0.3,"Medium High", TRUE, "High Margin")</f>
        <v>High Margin</v>
      </c>
      <c r="X19" t="str">
        <f t="shared" si="11"/>
        <v>08-2024</v>
      </c>
    </row>
    <row r="20" spans="1:24" x14ac:dyDescent="0.3">
      <c r="A20">
        <v>10413</v>
      </c>
      <c r="B20" s="1">
        <v>45512</v>
      </c>
      <c r="C20" t="s">
        <v>25</v>
      </c>
      <c r="D20" t="s">
        <v>31</v>
      </c>
      <c r="E20" t="s">
        <v>26</v>
      </c>
      <c r="F20" t="s">
        <v>14</v>
      </c>
      <c r="G20" t="s">
        <v>40</v>
      </c>
      <c r="H20" t="s">
        <v>28</v>
      </c>
      <c r="I20">
        <v>98971.49</v>
      </c>
      <c r="J20">
        <v>36834.93</v>
      </c>
      <c r="K20">
        <v>44327.77</v>
      </c>
      <c r="L20" t="str">
        <f t="shared" si="0"/>
        <v>Priya</v>
      </c>
      <c r="M20" t="str">
        <f t="shared" si="1"/>
        <v>South</v>
      </c>
      <c r="N20" t="str">
        <f t="shared" si="2"/>
        <v>Mumbai</v>
      </c>
      <c r="O20" t="str">
        <f t="shared" si="3"/>
        <v>Enterprise</v>
      </c>
      <c r="P20" s="4" t="str">
        <f t="shared" si="4"/>
        <v>Direct</v>
      </c>
      <c r="Q20">
        <f t="shared" si="5"/>
        <v>36834.93</v>
      </c>
      <c r="R20" s="6">
        <f t="shared" si="6"/>
        <v>62136.560000000005</v>
      </c>
      <c r="S20">
        <f t="shared" si="7"/>
        <v>0.62782282049103233</v>
      </c>
      <c r="T20">
        <f t="shared" si="8"/>
        <v>2.2327198052146549</v>
      </c>
      <c r="U20">
        <f t="shared" si="9"/>
        <v>54643.720000000008</v>
      </c>
      <c r="V20" t="str">
        <f t="shared" si="10"/>
        <v>Profitable</v>
      </c>
      <c r="W20" t="str" cm="1">
        <f t="array" ref="W20">_xlfn.IFS(S20&lt;0,"Loss", S20&lt;0.15,"Low Margin",S20&lt;0.3,"Medium High", TRUE, "High Margin")</f>
        <v>High Margin</v>
      </c>
      <c r="X20" t="str">
        <f t="shared" si="11"/>
        <v>08-2024</v>
      </c>
    </row>
    <row r="21" spans="1:24" x14ac:dyDescent="0.3">
      <c r="A21">
        <v>10385</v>
      </c>
      <c r="B21" s="1">
        <v>45526</v>
      </c>
      <c r="C21" t="s">
        <v>29</v>
      </c>
      <c r="D21" t="s">
        <v>31</v>
      </c>
      <c r="E21" t="s">
        <v>38</v>
      </c>
      <c r="F21" t="s">
        <v>19</v>
      </c>
      <c r="G21" t="s">
        <v>20</v>
      </c>
      <c r="I21">
        <v>19106.13</v>
      </c>
      <c r="J21">
        <v>39247.4</v>
      </c>
      <c r="K21">
        <v>93331.78</v>
      </c>
      <c r="L21" t="str">
        <f t="shared" si="0"/>
        <v>Sneha</v>
      </c>
      <c r="M21" t="str">
        <f t="shared" si="1"/>
        <v>South</v>
      </c>
      <c r="N21" t="str">
        <f t="shared" si="2"/>
        <v>Delhi</v>
      </c>
      <c r="O21" t="str">
        <f t="shared" si="3"/>
        <v>Startup</v>
      </c>
      <c r="P21" s="4" t="str">
        <f t="shared" si="4"/>
        <v>Unknown</v>
      </c>
      <c r="Q21">
        <f t="shared" si="5"/>
        <v>39247.4</v>
      </c>
      <c r="R21" s="6">
        <f t="shared" si="6"/>
        <v>-20141.27</v>
      </c>
      <c r="S21">
        <f t="shared" si="7"/>
        <v>-1.0541784233646478</v>
      </c>
      <c r="T21">
        <f t="shared" si="8"/>
        <v>0.20471194270590362</v>
      </c>
      <c r="U21">
        <f t="shared" si="9"/>
        <v>-74225.649999999994</v>
      </c>
      <c r="V21" t="str">
        <f t="shared" si="10"/>
        <v>Unprofitable</v>
      </c>
      <c r="W21" t="str" cm="1">
        <f t="array" ref="W21">_xlfn.IFS(S21&lt;0,"Loss", S21&lt;0.15,"Low Margin",S21&lt;0.3,"Medium High", TRUE, "High Margin")</f>
        <v>Loss</v>
      </c>
      <c r="X21" t="str">
        <f t="shared" si="11"/>
        <v>08-2024</v>
      </c>
    </row>
    <row r="22" spans="1:24" x14ac:dyDescent="0.3">
      <c r="A22">
        <v>10191</v>
      </c>
      <c r="B22" s="1">
        <v>45437</v>
      </c>
      <c r="C22" t="s">
        <v>29</v>
      </c>
      <c r="E22" t="s">
        <v>38</v>
      </c>
      <c r="F22" t="s">
        <v>14</v>
      </c>
      <c r="G22" t="s">
        <v>42</v>
      </c>
      <c r="H22" t="s">
        <v>33</v>
      </c>
      <c r="I22">
        <v>191895.64</v>
      </c>
      <c r="J22">
        <v>32244.959999999999</v>
      </c>
      <c r="K22">
        <v>76195.100000000006</v>
      </c>
      <c r="L22" t="str">
        <f t="shared" si="0"/>
        <v>Sneha</v>
      </c>
      <c r="M22" t="str">
        <f t="shared" si="1"/>
        <v>Unknown</v>
      </c>
      <c r="N22" t="str">
        <f t="shared" si="2"/>
        <v>Delhi</v>
      </c>
      <c r="O22" t="str">
        <f t="shared" si="3"/>
        <v>Enterprise</v>
      </c>
      <c r="P22" s="4" t="str">
        <f t="shared" si="4"/>
        <v>Partner</v>
      </c>
      <c r="Q22">
        <f t="shared" si="5"/>
        <v>32244.959999999999</v>
      </c>
      <c r="R22" s="6">
        <f t="shared" si="6"/>
        <v>159650.68000000002</v>
      </c>
      <c r="S22">
        <f t="shared" si="7"/>
        <v>0.83196616661014289</v>
      </c>
      <c r="T22">
        <f t="shared" si="8"/>
        <v>2.5184774349006696</v>
      </c>
      <c r="U22">
        <f t="shared" si="9"/>
        <v>115700.54000000001</v>
      </c>
      <c r="V22" t="str">
        <f t="shared" si="10"/>
        <v>Profitable</v>
      </c>
      <c r="W22" t="str" cm="1">
        <f t="array" ref="W22">_xlfn.IFS(S22&lt;0,"Loss", S22&lt;0.15,"Low Margin",S22&lt;0.3,"Medium High", TRUE, "High Margin")</f>
        <v>High Margin</v>
      </c>
      <c r="X22" t="str">
        <f t="shared" si="11"/>
        <v>05-2024</v>
      </c>
    </row>
    <row r="23" spans="1:24" x14ac:dyDescent="0.3">
      <c r="A23">
        <v>10276</v>
      </c>
      <c r="B23" s="1">
        <v>45530</v>
      </c>
      <c r="C23" t="s">
        <v>11</v>
      </c>
      <c r="D23" t="s">
        <v>34</v>
      </c>
      <c r="F23" t="s">
        <v>39</v>
      </c>
      <c r="G23" t="s">
        <v>43</v>
      </c>
      <c r="H23" t="s">
        <v>16</v>
      </c>
      <c r="I23">
        <v>189003.07</v>
      </c>
      <c r="J23">
        <v>63255.66</v>
      </c>
      <c r="L23" t="str">
        <f t="shared" si="0"/>
        <v>Rahul</v>
      </c>
      <c r="M23" t="str">
        <f t="shared" si="1"/>
        <v>East</v>
      </c>
      <c r="N23" t="str">
        <f t="shared" si="2"/>
        <v>Unknown</v>
      </c>
      <c r="O23" t="str">
        <f t="shared" si="3"/>
        <v>Enterprise</v>
      </c>
      <c r="P23" s="4" t="str">
        <f t="shared" si="4"/>
        <v>direct</v>
      </c>
      <c r="Q23">
        <f t="shared" si="5"/>
        <v>63255.66</v>
      </c>
      <c r="R23" s="6">
        <f t="shared" si="6"/>
        <v>125747.41</v>
      </c>
      <c r="S23">
        <f t="shared" si="7"/>
        <v>0.66531940460014749</v>
      </c>
      <c r="T23">
        <f t="shared" si="8"/>
        <v>0</v>
      </c>
      <c r="U23">
        <f t="shared" si="9"/>
        <v>189003.07</v>
      </c>
      <c r="V23" t="str">
        <f t="shared" si="10"/>
        <v>Profitable</v>
      </c>
      <c r="W23" t="str" cm="1">
        <f t="array" ref="W23">_xlfn.IFS(S23&lt;0,"Loss", S23&lt;0.15,"Low Margin",S23&lt;0.3,"Medium High", TRUE, "High Margin")</f>
        <v>High Margin</v>
      </c>
      <c r="X23" t="str">
        <f t="shared" si="11"/>
        <v>08-2024</v>
      </c>
    </row>
    <row r="24" spans="1:24" x14ac:dyDescent="0.3">
      <c r="A24">
        <v>10160</v>
      </c>
      <c r="B24" s="1">
        <v>45367</v>
      </c>
      <c r="C24" t="s">
        <v>36</v>
      </c>
      <c r="D24" t="s">
        <v>23</v>
      </c>
      <c r="E24" t="s">
        <v>44</v>
      </c>
      <c r="F24" t="s">
        <v>14</v>
      </c>
      <c r="G24" t="s">
        <v>20</v>
      </c>
      <c r="H24" t="s">
        <v>16</v>
      </c>
      <c r="I24">
        <v>158756.39000000001</v>
      </c>
      <c r="J24">
        <v>65659.8</v>
      </c>
      <c r="K24">
        <v>97780.88</v>
      </c>
      <c r="L24" t="str">
        <f t="shared" si="0"/>
        <v>Amit</v>
      </c>
      <c r="M24" t="str">
        <f t="shared" si="1"/>
        <v>West</v>
      </c>
      <c r="N24" t="str">
        <f t="shared" si="2"/>
        <v>Pune</v>
      </c>
      <c r="O24" t="str">
        <f t="shared" si="3"/>
        <v>Enterprise</v>
      </c>
      <c r="P24" s="4" t="str">
        <f t="shared" si="4"/>
        <v>direct</v>
      </c>
      <c r="Q24">
        <f t="shared" si="5"/>
        <v>65659.8</v>
      </c>
      <c r="R24" s="6">
        <f t="shared" si="6"/>
        <v>93096.590000000011</v>
      </c>
      <c r="S24">
        <f t="shared" si="7"/>
        <v>0.58641160837683448</v>
      </c>
      <c r="T24">
        <f t="shared" si="8"/>
        <v>1.6235933855371316</v>
      </c>
      <c r="U24">
        <f t="shared" si="9"/>
        <v>60975.510000000009</v>
      </c>
      <c r="V24" t="str">
        <f t="shared" si="10"/>
        <v>Profitable</v>
      </c>
      <c r="W24" t="str" cm="1">
        <f t="array" ref="W24">_xlfn.IFS(S24&lt;0,"Loss", S24&lt;0.15,"Low Margin",S24&lt;0.3,"Medium High", TRUE, "High Margin")</f>
        <v>High Margin</v>
      </c>
      <c r="X24" t="str">
        <f t="shared" si="11"/>
        <v>03-2024</v>
      </c>
    </row>
    <row r="25" spans="1:24" x14ac:dyDescent="0.3">
      <c r="A25">
        <v>10459</v>
      </c>
      <c r="B25" s="1">
        <v>45300</v>
      </c>
      <c r="C25" t="s">
        <v>22</v>
      </c>
      <c r="D25" t="s">
        <v>12</v>
      </c>
      <c r="E25" t="s">
        <v>44</v>
      </c>
      <c r="F25" t="s">
        <v>14</v>
      </c>
      <c r="G25" t="s">
        <v>40</v>
      </c>
      <c r="H25" t="s">
        <v>33</v>
      </c>
      <c r="I25">
        <v>198334.96</v>
      </c>
      <c r="J25">
        <v>44755.66</v>
      </c>
      <c r="K25">
        <v>167318.34</v>
      </c>
      <c r="L25" t="str">
        <f t="shared" si="0"/>
        <v>Amit</v>
      </c>
      <c r="M25" t="str">
        <f t="shared" si="1"/>
        <v>South</v>
      </c>
      <c r="N25" t="str">
        <f t="shared" si="2"/>
        <v>Pune</v>
      </c>
      <c r="O25" t="str">
        <f t="shared" si="3"/>
        <v>Enterprise</v>
      </c>
      <c r="P25" s="4" t="str">
        <f t="shared" si="4"/>
        <v>Partner</v>
      </c>
      <c r="Q25">
        <f t="shared" si="5"/>
        <v>44755.66</v>
      </c>
      <c r="R25" s="6">
        <f t="shared" si="6"/>
        <v>153579.29999999999</v>
      </c>
      <c r="S25">
        <f t="shared" si="7"/>
        <v>0.77434306085019</v>
      </c>
      <c r="T25">
        <f t="shared" si="8"/>
        <v>1.1853748967387556</v>
      </c>
      <c r="U25">
        <f t="shared" si="9"/>
        <v>31016.619999999995</v>
      </c>
      <c r="V25" t="str">
        <f t="shared" si="10"/>
        <v>Profitable</v>
      </c>
      <c r="W25" t="str" cm="1">
        <f t="array" ref="W25">_xlfn.IFS(S25&lt;0,"Loss", S25&lt;0.15,"Low Margin",S25&lt;0.3,"Medium High", TRUE, "High Margin")</f>
        <v>High Margin</v>
      </c>
      <c r="X25" t="str">
        <f t="shared" si="11"/>
        <v>01-2024</v>
      </c>
    </row>
    <row r="26" spans="1:24" x14ac:dyDescent="0.3">
      <c r="A26">
        <v>10313</v>
      </c>
      <c r="B26" s="1">
        <v>45365</v>
      </c>
      <c r="C26" t="s">
        <v>36</v>
      </c>
      <c r="D26" t="s">
        <v>17</v>
      </c>
      <c r="E26" t="s">
        <v>26</v>
      </c>
      <c r="F26" t="s">
        <v>39</v>
      </c>
      <c r="G26" t="s">
        <v>15</v>
      </c>
      <c r="H26" t="s">
        <v>21</v>
      </c>
      <c r="I26">
        <v>112540.61</v>
      </c>
      <c r="K26">
        <v>26409.46</v>
      </c>
      <c r="L26" t="str">
        <f t="shared" si="0"/>
        <v>Amit</v>
      </c>
      <c r="M26" t="str">
        <f t="shared" si="1"/>
        <v>West</v>
      </c>
      <c r="N26" t="str">
        <f t="shared" si="2"/>
        <v>Mumbai</v>
      </c>
      <c r="O26" t="str">
        <f t="shared" si="3"/>
        <v>Enterprise</v>
      </c>
      <c r="P26" s="4" t="str">
        <f t="shared" si="4"/>
        <v>Online</v>
      </c>
      <c r="Q26">
        <f t="shared" si="5"/>
        <v>0</v>
      </c>
      <c r="R26" s="6">
        <f t="shared" si="6"/>
        <v>112540.61</v>
      </c>
      <c r="S26">
        <f t="shared" si="7"/>
        <v>1</v>
      </c>
      <c r="T26">
        <f t="shared" si="8"/>
        <v>4.2613749012664401</v>
      </c>
      <c r="U26">
        <f t="shared" si="9"/>
        <v>86131.15</v>
      </c>
      <c r="V26" t="str">
        <f t="shared" si="10"/>
        <v>Profitable</v>
      </c>
      <c r="W26" t="str" cm="1">
        <f t="array" ref="W26">_xlfn.IFS(S26&lt;0,"Loss", S26&lt;0.15,"Low Margin",S26&lt;0.3,"Medium High", TRUE, "High Margin")</f>
        <v>High Margin</v>
      </c>
      <c r="X26" t="str">
        <f t="shared" si="11"/>
        <v>03-2024</v>
      </c>
    </row>
    <row r="27" spans="1:24" x14ac:dyDescent="0.3">
      <c r="A27">
        <v>10021</v>
      </c>
      <c r="B27" s="1">
        <v>45544</v>
      </c>
      <c r="C27" t="s">
        <v>22</v>
      </c>
      <c r="E27" t="s">
        <v>26</v>
      </c>
      <c r="G27" t="s">
        <v>20</v>
      </c>
      <c r="H27" t="s">
        <v>21</v>
      </c>
      <c r="I27">
        <v>192851.52</v>
      </c>
      <c r="J27">
        <v>99941</v>
      </c>
      <c r="K27">
        <v>66633.75</v>
      </c>
      <c r="L27" t="str">
        <f t="shared" si="0"/>
        <v>Amit</v>
      </c>
      <c r="M27" t="str">
        <f t="shared" si="1"/>
        <v>Unknown</v>
      </c>
      <c r="N27" t="str">
        <f t="shared" si="2"/>
        <v>Mumbai</v>
      </c>
      <c r="O27" t="str">
        <f t="shared" si="3"/>
        <v>Unknown</v>
      </c>
      <c r="P27" s="4" t="str">
        <f t="shared" si="4"/>
        <v>Online</v>
      </c>
      <c r="Q27">
        <f t="shared" si="5"/>
        <v>99941</v>
      </c>
      <c r="R27" s="6">
        <f t="shared" si="6"/>
        <v>92910.51999999999</v>
      </c>
      <c r="S27">
        <f t="shared" si="7"/>
        <v>0.48177229819085687</v>
      </c>
      <c r="T27">
        <f t="shared" si="8"/>
        <v>2.8942018121447464</v>
      </c>
      <c r="U27">
        <f t="shared" si="9"/>
        <v>126217.76999999999</v>
      </c>
      <c r="V27" t="str">
        <f t="shared" si="10"/>
        <v>Profitable</v>
      </c>
      <c r="W27" t="str" cm="1">
        <f t="array" ref="W27">_xlfn.IFS(S27&lt;0,"Loss", S27&lt;0.15,"Low Margin",S27&lt;0.3,"Medium High", TRUE, "High Margin")</f>
        <v>High Margin</v>
      </c>
      <c r="X27" t="str">
        <f t="shared" si="11"/>
        <v>09-2024</v>
      </c>
    </row>
    <row r="28" spans="1:24" x14ac:dyDescent="0.3">
      <c r="A28">
        <v>10252</v>
      </c>
      <c r="B28" s="1">
        <v>45521</v>
      </c>
      <c r="C28" t="s">
        <v>45</v>
      </c>
      <c r="D28" t="s">
        <v>34</v>
      </c>
      <c r="E28" t="s">
        <v>44</v>
      </c>
      <c r="F28" t="s">
        <v>14</v>
      </c>
      <c r="G28" t="s">
        <v>42</v>
      </c>
      <c r="H28" t="s">
        <v>16</v>
      </c>
      <c r="I28">
        <v>22516.17</v>
      </c>
      <c r="J28">
        <v>95347.26</v>
      </c>
      <c r="K28">
        <v>53206.55</v>
      </c>
      <c r="L28" t="str">
        <f t="shared" si="0"/>
        <v>Rahul</v>
      </c>
      <c r="M28" t="str">
        <f t="shared" si="1"/>
        <v>East</v>
      </c>
      <c r="N28" t="str">
        <f t="shared" si="2"/>
        <v>Pune</v>
      </c>
      <c r="O28" t="str">
        <f t="shared" si="3"/>
        <v>Enterprise</v>
      </c>
      <c r="P28" s="4" t="str">
        <f t="shared" si="4"/>
        <v>direct</v>
      </c>
      <c r="Q28">
        <f t="shared" si="5"/>
        <v>95347.26</v>
      </c>
      <c r="R28" s="6">
        <f t="shared" si="6"/>
        <v>-72831.09</v>
      </c>
      <c r="S28">
        <f t="shared" si="7"/>
        <v>-3.2346127249883083</v>
      </c>
      <c r="T28">
        <f t="shared" si="8"/>
        <v>0.42318417563251137</v>
      </c>
      <c r="U28">
        <f t="shared" si="9"/>
        <v>-30690.380000000005</v>
      </c>
      <c r="V28" t="str">
        <f t="shared" si="10"/>
        <v>Unprofitable</v>
      </c>
      <c r="W28" t="str" cm="1">
        <f t="array" ref="W28">_xlfn.IFS(S28&lt;0,"Loss", S28&lt;0.15,"Low Margin",S28&lt;0.3,"Medium High", TRUE, "High Margin")</f>
        <v>Loss</v>
      </c>
      <c r="X28" t="str">
        <f t="shared" si="11"/>
        <v>08-2024</v>
      </c>
    </row>
    <row r="29" spans="1:24" x14ac:dyDescent="0.3">
      <c r="A29">
        <v>10560</v>
      </c>
      <c r="B29" s="1">
        <v>45298</v>
      </c>
      <c r="C29" t="s">
        <v>11</v>
      </c>
      <c r="D29" t="s">
        <v>31</v>
      </c>
      <c r="E29" t="s">
        <v>18</v>
      </c>
      <c r="F29" t="s">
        <v>14</v>
      </c>
      <c r="G29" t="s">
        <v>40</v>
      </c>
      <c r="H29" t="s">
        <v>16</v>
      </c>
      <c r="I29">
        <v>78210.7</v>
      </c>
      <c r="J29">
        <v>39012.11</v>
      </c>
      <c r="K29">
        <v>58103.46</v>
      </c>
      <c r="L29" t="str">
        <f t="shared" si="0"/>
        <v>Rahul</v>
      </c>
      <c r="M29" t="str">
        <f t="shared" si="1"/>
        <v>South</v>
      </c>
      <c r="N29" t="str">
        <f t="shared" si="2"/>
        <v>Bengaluru</v>
      </c>
      <c r="O29" t="str">
        <f t="shared" si="3"/>
        <v>Enterprise</v>
      </c>
      <c r="P29" s="4" t="str">
        <f t="shared" si="4"/>
        <v>direct</v>
      </c>
      <c r="Q29">
        <f t="shared" si="5"/>
        <v>39012.11</v>
      </c>
      <c r="R29" s="6">
        <f t="shared" si="6"/>
        <v>39198.589999999997</v>
      </c>
      <c r="S29">
        <f t="shared" si="7"/>
        <v>0.50119216424351143</v>
      </c>
      <c r="T29">
        <f t="shared" si="8"/>
        <v>1.3460592536141565</v>
      </c>
      <c r="U29">
        <f t="shared" si="9"/>
        <v>20107.239999999998</v>
      </c>
      <c r="V29" t="str">
        <f t="shared" si="10"/>
        <v>Profitable</v>
      </c>
      <c r="W29" t="str" cm="1">
        <f t="array" ref="W29">_xlfn.IFS(S29&lt;0,"Loss", S29&lt;0.15,"Low Margin",S29&lt;0.3,"Medium High", TRUE, "High Margin")</f>
        <v>High Margin</v>
      </c>
      <c r="X29" t="str">
        <f t="shared" si="11"/>
        <v>01-2024</v>
      </c>
    </row>
    <row r="30" spans="1:24" x14ac:dyDescent="0.3">
      <c r="A30">
        <v>10474</v>
      </c>
      <c r="B30" s="1">
        <v>45465</v>
      </c>
      <c r="C30" t="s">
        <v>45</v>
      </c>
      <c r="D30" t="s">
        <v>17</v>
      </c>
      <c r="E30" t="s">
        <v>38</v>
      </c>
      <c r="G30" t="s">
        <v>43</v>
      </c>
      <c r="H30" t="s">
        <v>28</v>
      </c>
      <c r="I30">
        <v>51273.2</v>
      </c>
      <c r="J30">
        <v>109913.25</v>
      </c>
      <c r="K30">
        <v>165349.53</v>
      </c>
      <c r="L30" t="str">
        <f t="shared" si="0"/>
        <v>Rahul</v>
      </c>
      <c r="M30" t="str">
        <f t="shared" si="1"/>
        <v>West</v>
      </c>
      <c r="N30" t="str">
        <f t="shared" si="2"/>
        <v>Delhi</v>
      </c>
      <c r="O30" t="str">
        <f t="shared" si="3"/>
        <v>Unknown</v>
      </c>
      <c r="P30" s="4" t="str">
        <f t="shared" si="4"/>
        <v>Direct</v>
      </c>
      <c r="Q30">
        <f t="shared" si="5"/>
        <v>109913.25</v>
      </c>
      <c r="R30" s="6">
        <f t="shared" si="6"/>
        <v>-58640.05</v>
      </c>
      <c r="S30">
        <f t="shared" si="7"/>
        <v>-1.1436783738873331</v>
      </c>
      <c r="T30">
        <f t="shared" si="8"/>
        <v>0.31008978374477386</v>
      </c>
      <c r="U30">
        <f t="shared" si="9"/>
        <v>-114076.33</v>
      </c>
      <c r="V30" t="str">
        <f t="shared" si="10"/>
        <v>Unprofitable</v>
      </c>
      <c r="W30" t="str" cm="1">
        <f t="array" ref="W30">_xlfn.IFS(S30&lt;0,"Loss", S30&lt;0.15,"Low Margin",S30&lt;0.3,"Medium High", TRUE, "High Margin")</f>
        <v>Loss</v>
      </c>
      <c r="X30" t="str">
        <f t="shared" si="11"/>
        <v>06-2024</v>
      </c>
    </row>
    <row r="31" spans="1:24" x14ac:dyDescent="0.3">
      <c r="A31">
        <v>10058</v>
      </c>
      <c r="B31" s="1">
        <v>45432</v>
      </c>
      <c r="C31" t="s">
        <v>36</v>
      </c>
      <c r="D31" t="s">
        <v>31</v>
      </c>
      <c r="E31" t="s">
        <v>35</v>
      </c>
      <c r="F31" t="s">
        <v>14</v>
      </c>
      <c r="G31" t="s">
        <v>40</v>
      </c>
      <c r="H31" t="s">
        <v>21</v>
      </c>
      <c r="I31">
        <v>45599.95</v>
      </c>
      <c r="J31">
        <v>114479.36</v>
      </c>
      <c r="K31">
        <v>94891.05</v>
      </c>
      <c r="L31" t="str">
        <f t="shared" si="0"/>
        <v>Amit</v>
      </c>
      <c r="M31" t="str">
        <f t="shared" si="1"/>
        <v>South</v>
      </c>
      <c r="N31" t="str">
        <f t="shared" si="2"/>
        <v>Hyderabad</v>
      </c>
      <c r="O31" t="str">
        <f t="shared" si="3"/>
        <v>Enterprise</v>
      </c>
      <c r="P31" s="4" t="str">
        <f t="shared" si="4"/>
        <v>Online</v>
      </c>
      <c r="Q31">
        <f t="shared" si="5"/>
        <v>114479.36</v>
      </c>
      <c r="R31" s="6">
        <f t="shared" si="6"/>
        <v>-68879.41</v>
      </c>
      <c r="S31">
        <f t="shared" si="7"/>
        <v>-1.5105150334594666</v>
      </c>
      <c r="T31">
        <f t="shared" si="8"/>
        <v>0.48055058933376749</v>
      </c>
      <c r="U31">
        <f t="shared" si="9"/>
        <v>-49291.100000000006</v>
      </c>
      <c r="V31" t="str">
        <f t="shared" si="10"/>
        <v>Unprofitable</v>
      </c>
      <c r="W31" t="str" cm="1">
        <f t="array" ref="W31">_xlfn.IFS(S31&lt;0,"Loss", S31&lt;0.15,"Low Margin",S31&lt;0.3,"Medium High", TRUE, "High Margin")</f>
        <v>Loss</v>
      </c>
      <c r="X31" t="str">
        <f t="shared" si="11"/>
        <v>05-2024</v>
      </c>
    </row>
    <row r="32" spans="1:24" x14ac:dyDescent="0.3">
      <c r="A32">
        <v>10510</v>
      </c>
      <c r="B32" s="1">
        <v>45459</v>
      </c>
      <c r="C32" t="s">
        <v>11</v>
      </c>
      <c r="D32" t="s">
        <v>17</v>
      </c>
      <c r="E32" t="s">
        <v>26</v>
      </c>
      <c r="F32" t="s">
        <v>14</v>
      </c>
      <c r="G32" t="s">
        <v>40</v>
      </c>
      <c r="H32" t="s">
        <v>33</v>
      </c>
      <c r="I32">
        <v>35034.17</v>
      </c>
      <c r="J32">
        <v>41228.879999999997</v>
      </c>
      <c r="K32">
        <v>94607.91</v>
      </c>
      <c r="L32" t="str">
        <f t="shared" si="0"/>
        <v>Rahul</v>
      </c>
      <c r="M32" t="str">
        <f t="shared" si="1"/>
        <v>West</v>
      </c>
      <c r="N32" t="str">
        <f t="shared" si="2"/>
        <v>Mumbai</v>
      </c>
      <c r="O32" t="str">
        <f t="shared" si="3"/>
        <v>Enterprise</v>
      </c>
      <c r="P32" s="4" t="str">
        <f t="shared" si="4"/>
        <v>Partner</v>
      </c>
      <c r="Q32">
        <f t="shared" si="5"/>
        <v>41228.879999999997</v>
      </c>
      <c r="R32" s="6">
        <f t="shared" si="6"/>
        <v>-6194.7099999999991</v>
      </c>
      <c r="S32">
        <f t="shared" si="7"/>
        <v>-0.17681908833575904</v>
      </c>
      <c r="T32">
        <f t="shared" si="8"/>
        <v>0.37030909994735112</v>
      </c>
      <c r="U32">
        <f t="shared" si="9"/>
        <v>-59573.740000000005</v>
      </c>
      <c r="V32" t="str">
        <f t="shared" si="10"/>
        <v>Unprofitable</v>
      </c>
      <c r="W32" t="str" cm="1">
        <f t="array" ref="W32">_xlfn.IFS(S32&lt;0,"Loss", S32&lt;0.15,"Low Margin",S32&lt;0.3,"Medium High", TRUE, "High Margin")</f>
        <v>Loss</v>
      </c>
      <c r="X32" t="str">
        <f t="shared" si="11"/>
        <v>06-2024</v>
      </c>
    </row>
    <row r="33" spans="1:24" x14ac:dyDescent="0.3">
      <c r="A33">
        <v>10475</v>
      </c>
      <c r="B33" s="1">
        <v>45461</v>
      </c>
      <c r="C33" t="s">
        <v>45</v>
      </c>
      <c r="D33" t="s">
        <v>12</v>
      </c>
      <c r="F33" t="s">
        <v>14</v>
      </c>
      <c r="G33" t="s">
        <v>27</v>
      </c>
      <c r="H33" t="s">
        <v>21</v>
      </c>
      <c r="I33">
        <v>127503.42</v>
      </c>
      <c r="J33">
        <v>44467.72</v>
      </c>
      <c r="L33" t="str">
        <f t="shared" si="0"/>
        <v>Rahul</v>
      </c>
      <c r="M33" t="str">
        <f t="shared" si="1"/>
        <v>South</v>
      </c>
      <c r="N33" t="str">
        <f t="shared" si="2"/>
        <v>Unknown</v>
      </c>
      <c r="O33" t="str">
        <f t="shared" si="3"/>
        <v>Enterprise</v>
      </c>
      <c r="P33" s="4" t="str">
        <f t="shared" si="4"/>
        <v>Online</v>
      </c>
      <c r="Q33">
        <f t="shared" si="5"/>
        <v>44467.72</v>
      </c>
      <c r="R33" s="6">
        <f t="shared" si="6"/>
        <v>83035.7</v>
      </c>
      <c r="S33">
        <f t="shared" si="7"/>
        <v>0.65124292352314939</v>
      </c>
      <c r="T33">
        <f t="shared" si="8"/>
        <v>0</v>
      </c>
      <c r="U33">
        <f t="shared" si="9"/>
        <v>127503.42</v>
      </c>
      <c r="V33" t="str">
        <f t="shared" si="10"/>
        <v>Profitable</v>
      </c>
      <c r="W33" t="str" cm="1">
        <f t="array" ref="W33">_xlfn.IFS(S33&lt;0,"Loss", S33&lt;0.15,"Low Margin",S33&lt;0.3,"Medium High", TRUE, "High Margin")</f>
        <v>High Margin</v>
      </c>
      <c r="X33" t="str">
        <f t="shared" si="11"/>
        <v>06-2024</v>
      </c>
    </row>
    <row r="34" spans="1:24" x14ac:dyDescent="0.3">
      <c r="A34">
        <v>10189</v>
      </c>
      <c r="B34" s="1">
        <v>45413</v>
      </c>
      <c r="C34" t="s">
        <v>41</v>
      </c>
      <c r="D34" t="s">
        <v>34</v>
      </c>
      <c r="F34" t="s">
        <v>32</v>
      </c>
      <c r="G34" t="s">
        <v>40</v>
      </c>
      <c r="H34" t="s">
        <v>28</v>
      </c>
      <c r="I34">
        <v>158013.79999999999</v>
      </c>
      <c r="J34">
        <v>62159.199999999997</v>
      </c>
      <c r="K34">
        <v>44718.75</v>
      </c>
      <c r="L34" t="str">
        <f t="shared" si="0"/>
        <v>Neha</v>
      </c>
      <c r="M34" t="str">
        <f t="shared" si="1"/>
        <v>East</v>
      </c>
      <c r="N34" t="str">
        <f t="shared" si="2"/>
        <v>Unknown</v>
      </c>
      <c r="O34" t="str">
        <f t="shared" si="3"/>
        <v>Smb</v>
      </c>
      <c r="P34" s="4" t="str">
        <f t="shared" si="4"/>
        <v>Direct</v>
      </c>
      <c r="Q34">
        <f t="shared" si="5"/>
        <v>62159.199999999997</v>
      </c>
      <c r="R34" s="6">
        <f t="shared" si="6"/>
        <v>95854.599999999991</v>
      </c>
      <c r="S34">
        <f t="shared" si="7"/>
        <v>0.60662170012998862</v>
      </c>
      <c r="T34">
        <f t="shared" si="8"/>
        <v>3.5335021663172603</v>
      </c>
      <c r="U34">
        <f t="shared" si="9"/>
        <v>113295.04999999999</v>
      </c>
      <c r="V34" t="str">
        <f t="shared" si="10"/>
        <v>Profitable</v>
      </c>
      <c r="W34" t="str" cm="1">
        <f t="array" ref="W34">_xlfn.IFS(S34&lt;0,"Loss", S34&lt;0.15,"Low Margin",S34&lt;0.3,"Medium High", TRUE, "High Margin")</f>
        <v>High Margin</v>
      </c>
      <c r="X34" t="str">
        <f t="shared" si="11"/>
        <v>05-2024</v>
      </c>
    </row>
    <row r="35" spans="1:24" x14ac:dyDescent="0.3">
      <c r="A35">
        <v>10562</v>
      </c>
      <c r="B35" s="1">
        <v>45485</v>
      </c>
      <c r="C35" t="s">
        <v>36</v>
      </c>
      <c r="D35" t="s">
        <v>17</v>
      </c>
      <c r="E35" t="s">
        <v>26</v>
      </c>
      <c r="G35" t="s">
        <v>40</v>
      </c>
      <c r="H35" t="s">
        <v>16</v>
      </c>
      <c r="I35">
        <v>119033.29</v>
      </c>
      <c r="J35">
        <v>113111.14</v>
      </c>
      <c r="K35">
        <v>97962.46</v>
      </c>
      <c r="L35" t="str">
        <f t="shared" si="0"/>
        <v>Amit</v>
      </c>
      <c r="M35" t="str">
        <f t="shared" si="1"/>
        <v>West</v>
      </c>
      <c r="N35" t="str">
        <f t="shared" si="2"/>
        <v>Mumbai</v>
      </c>
      <c r="O35" t="str">
        <f t="shared" si="3"/>
        <v>Unknown</v>
      </c>
      <c r="P35" s="4" t="str">
        <f t="shared" si="4"/>
        <v>direct</v>
      </c>
      <c r="Q35">
        <f t="shared" si="5"/>
        <v>113111.14</v>
      </c>
      <c r="R35" s="6">
        <f t="shared" si="6"/>
        <v>5922.1499999999942</v>
      </c>
      <c r="S35">
        <f t="shared" si="7"/>
        <v>4.9752048355548223E-2</v>
      </c>
      <c r="T35">
        <f t="shared" si="8"/>
        <v>1.2150908623568659</v>
      </c>
      <c r="U35">
        <f t="shared" si="9"/>
        <v>21070.829999999987</v>
      </c>
      <c r="V35" t="str">
        <f t="shared" si="10"/>
        <v>Profitable</v>
      </c>
      <c r="W35" t="str" cm="1">
        <f t="array" ref="W35">_xlfn.IFS(S35&lt;0,"Loss", S35&lt;0.15,"Low Margin",S35&lt;0.3,"Medium High", TRUE, "High Margin")</f>
        <v>Low Margin</v>
      </c>
      <c r="X35" t="str">
        <f t="shared" si="11"/>
        <v>07-2024</v>
      </c>
    </row>
    <row r="36" spans="1:24" x14ac:dyDescent="0.3">
      <c r="A36">
        <v>10566</v>
      </c>
      <c r="B36" s="1">
        <v>45296</v>
      </c>
      <c r="C36" t="s">
        <v>45</v>
      </c>
      <c r="D36" t="s">
        <v>23</v>
      </c>
      <c r="E36" t="s">
        <v>44</v>
      </c>
      <c r="F36" t="s">
        <v>14</v>
      </c>
      <c r="G36" t="s">
        <v>20</v>
      </c>
      <c r="H36" t="s">
        <v>16</v>
      </c>
      <c r="I36">
        <v>36216.839999999997</v>
      </c>
      <c r="J36">
        <v>105529.37</v>
      </c>
      <c r="K36">
        <v>88797.63</v>
      </c>
      <c r="L36" t="str">
        <f t="shared" si="0"/>
        <v>Rahul</v>
      </c>
      <c r="M36" t="str">
        <f t="shared" si="1"/>
        <v>West</v>
      </c>
      <c r="N36" t="str">
        <f t="shared" si="2"/>
        <v>Pune</v>
      </c>
      <c r="O36" t="str">
        <f t="shared" si="3"/>
        <v>Enterprise</v>
      </c>
      <c r="P36" s="4" t="str">
        <f t="shared" si="4"/>
        <v>direct</v>
      </c>
      <c r="Q36">
        <f t="shared" si="5"/>
        <v>105529.37</v>
      </c>
      <c r="R36" s="6">
        <f t="shared" si="6"/>
        <v>-69312.53</v>
      </c>
      <c r="S36">
        <f t="shared" si="7"/>
        <v>-1.9138204768831297</v>
      </c>
      <c r="T36">
        <f t="shared" si="8"/>
        <v>0.40785818270149771</v>
      </c>
      <c r="U36">
        <f t="shared" si="9"/>
        <v>-52580.790000000008</v>
      </c>
      <c r="V36" t="str">
        <f t="shared" si="10"/>
        <v>Unprofitable</v>
      </c>
      <c r="W36" t="str" cm="1">
        <f t="array" ref="W36">_xlfn.IFS(S36&lt;0,"Loss", S36&lt;0.15,"Low Margin",S36&lt;0.3,"Medium High", TRUE, "High Margin")</f>
        <v>Loss</v>
      </c>
      <c r="X36" t="str">
        <f t="shared" si="11"/>
        <v>01-2024</v>
      </c>
    </row>
    <row r="37" spans="1:24" x14ac:dyDescent="0.3">
      <c r="A37">
        <v>10243</v>
      </c>
      <c r="B37" s="1">
        <v>45320</v>
      </c>
      <c r="C37" t="s">
        <v>41</v>
      </c>
      <c r="E37" t="s">
        <v>24</v>
      </c>
      <c r="G37" t="s">
        <v>43</v>
      </c>
      <c r="H37" t="s">
        <v>28</v>
      </c>
      <c r="I37">
        <v>163735.76</v>
      </c>
      <c r="J37">
        <v>15000.45</v>
      </c>
      <c r="K37">
        <v>115505.71</v>
      </c>
      <c r="L37" t="str">
        <f t="shared" si="0"/>
        <v>Neha</v>
      </c>
      <c r="M37" t="str">
        <f t="shared" si="1"/>
        <v>Unknown</v>
      </c>
      <c r="N37" t="str">
        <f t="shared" si="2"/>
        <v>Chennai</v>
      </c>
      <c r="O37" t="str">
        <f t="shared" si="3"/>
        <v>Unknown</v>
      </c>
      <c r="P37" s="4" t="str">
        <f t="shared" si="4"/>
        <v>Direct</v>
      </c>
      <c r="Q37">
        <f t="shared" si="5"/>
        <v>15000.45</v>
      </c>
      <c r="R37" s="6">
        <f t="shared" si="6"/>
        <v>148735.31</v>
      </c>
      <c r="S37">
        <f t="shared" si="7"/>
        <v>0.90838623157213783</v>
      </c>
      <c r="T37">
        <f t="shared" si="8"/>
        <v>1.4175555476867767</v>
      </c>
      <c r="U37">
        <f t="shared" si="9"/>
        <v>48230.05</v>
      </c>
      <c r="V37" t="str">
        <f t="shared" si="10"/>
        <v>Profitable</v>
      </c>
      <c r="W37" t="str" cm="1">
        <f t="array" ref="W37">_xlfn.IFS(S37&lt;0,"Loss", S37&lt;0.15,"Low Margin",S37&lt;0.3,"Medium High", TRUE, "High Margin")</f>
        <v>High Margin</v>
      </c>
      <c r="X37" t="str">
        <f t="shared" si="11"/>
        <v>01-2024</v>
      </c>
    </row>
    <row r="38" spans="1:24" x14ac:dyDescent="0.3">
      <c r="A38">
        <v>10504</v>
      </c>
      <c r="B38" s="1">
        <v>45456</v>
      </c>
      <c r="C38" t="s">
        <v>41</v>
      </c>
      <c r="D38" t="s">
        <v>37</v>
      </c>
      <c r="E38" t="s">
        <v>35</v>
      </c>
      <c r="F38" t="s">
        <v>19</v>
      </c>
      <c r="G38" t="s">
        <v>20</v>
      </c>
      <c r="H38" t="s">
        <v>33</v>
      </c>
      <c r="I38">
        <v>130103.3</v>
      </c>
      <c r="J38">
        <v>48949.5</v>
      </c>
      <c r="K38">
        <v>179929.23</v>
      </c>
      <c r="L38" t="str">
        <f t="shared" si="0"/>
        <v>Neha</v>
      </c>
      <c r="M38" t="str">
        <f t="shared" si="1"/>
        <v>North</v>
      </c>
      <c r="N38" t="str">
        <f t="shared" si="2"/>
        <v>Hyderabad</v>
      </c>
      <c r="O38" t="str">
        <f t="shared" si="3"/>
        <v>Startup</v>
      </c>
      <c r="P38" s="4" t="str">
        <f t="shared" si="4"/>
        <v>Partner</v>
      </c>
      <c r="Q38">
        <f t="shared" si="5"/>
        <v>48949.5</v>
      </c>
      <c r="R38" s="6">
        <f t="shared" si="6"/>
        <v>81153.8</v>
      </c>
      <c r="S38">
        <f t="shared" si="7"/>
        <v>0.62376434725329799</v>
      </c>
      <c r="T38">
        <f t="shared" si="8"/>
        <v>0.72308040222258496</v>
      </c>
      <c r="U38">
        <f t="shared" si="9"/>
        <v>-49825.930000000008</v>
      </c>
      <c r="V38" t="str">
        <f t="shared" si="10"/>
        <v>Profitable</v>
      </c>
      <c r="W38" t="str" cm="1">
        <f t="array" ref="W38">_xlfn.IFS(S38&lt;0,"Loss", S38&lt;0.15,"Low Margin",S38&lt;0.3,"Medium High", TRUE, "High Margin")</f>
        <v>High Margin</v>
      </c>
      <c r="X38" t="str">
        <f t="shared" si="11"/>
        <v>06-2024</v>
      </c>
    </row>
    <row r="39" spans="1:24" x14ac:dyDescent="0.3">
      <c r="A39">
        <v>10130</v>
      </c>
      <c r="B39" s="1">
        <v>45427</v>
      </c>
      <c r="C39" t="s">
        <v>29</v>
      </c>
      <c r="D39" t="s">
        <v>23</v>
      </c>
      <c r="E39" t="s">
        <v>35</v>
      </c>
      <c r="F39" t="s">
        <v>19</v>
      </c>
      <c r="G39" t="s">
        <v>20</v>
      </c>
      <c r="H39" t="s">
        <v>16</v>
      </c>
      <c r="I39">
        <v>82527.820000000007</v>
      </c>
      <c r="J39">
        <v>67744.429999999993</v>
      </c>
      <c r="K39">
        <v>143111.82</v>
      </c>
      <c r="L39" t="str">
        <f t="shared" si="0"/>
        <v>Sneha</v>
      </c>
      <c r="M39" t="str">
        <f t="shared" si="1"/>
        <v>West</v>
      </c>
      <c r="N39" t="str">
        <f t="shared" si="2"/>
        <v>Hyderabad</v>
      </c>
      <c r="O39" t="str">
        <f t="shared" si="3"/>
        <v>Startup</v>
      </c>
      <c r="P39" s="4" t="str">
        <f t="shared" si="4"/>
        <v>direct</v>
      </c>
      <c r="Q39">
        <f t="shared" si="5"/>
        <v>67744.429999999993</v>
      </c>
      <c r="R39" s="6">
        <f t="shared" si="6"/>
        <v>14783.390000000014</v>
      </c>
      <c r="S39">
        <f t="shared" si="7"/>
        <v>0.17913220051129441</v>
      </c>
      <c r="T39">
        <f t="shared" si="8"/>
        <v>0.57666669321933017</v>
      </c>
      <c r="U39">
        <f t="shared" si="9"/>
        <v>-60584</v>
      </c>
      <c r="V39" t="str">
        <f t="shared" si="10"/>
        <v>Profitable</v>
      </c>
      <c r="W39" t="str" cm="1">
        <f t="array" ref="W39">_xlfn.IFS(S39&lt;0,"Loss", S39&lt;0.15,"Low Margin",S39&lt;0.3,"Medium High", TRUE, "High Margin")</f>
        <v>Medium High</v>
      </c>
      <c r="X39" t="str">
        <f t="shared" si="11"/>
        <v>05-2024</v>
      </c>
    </row>
    <row r="40" spans="1:24" x14ac:dyDescent="0.3">
      <c r="A40">
        <v>10484</v>
      </c>
      <c r="B40" s="1">
        <v>45436</v>
      </c>
      <c r="C40" t="s">
        <v>36</v>
      </c>
      <c r="D40" t="s">
        <v>23</v>
      </c>
      <c r="E40" t="s">
        <v>26</v>
      </c>
      <c r="F40" t="s">
        <v>14</v>
      </c>
      <c r="G40" t="s">
        <v>42</v>
      </c>
      <c r="I40">
        <v>137433.01999999999</v>
      </c>
      <c r="J40">
        <v>61866.5</v>
      </c>
      <c r="K40">
        <v>83658.509999999995</v>
      </c>
      <c r="L40" t="str">
        <f t="shared" si="0"/>
        <v>Amit</v>
      </c>
      <c r="M40" t="str">
        <f t="shared" si="1"/>
        <v>West</v>
      </c>
      <c r="N40" t="str">
        <f t="shared" si="2"/>
        <v>Mumbai</v>
      </c>
      <c r="O40" t="str">
        <f t="shared" si="3"/>
        <v>Enterprise</v>
      </c>
      <c r="P40" s="4" t="str">
        <f t="shared" si="4"/>
        <v>Unknown</v>
      </c>
      <c r="Q40">
        <f t="shared" si="5"/>
        <v>61866.5</v>
      </c>
      <c r="R40" s="6">
        <f t="shared" si="6"/>
        <v>75566.51999999999</v>
      </c>
      <c r="S40">
        <f t="shared" si="7"/>
        <v>0.54984253420320672</v>
      </c>
      <c r="T40">
        <f t="shared" si="8"/>
        <v>1.6427858923138841</v>
      </c>
      <c r="U40">
        <f t="shared" si="9"/>
        <v>53774.509999999995</v>
      </c>
      <c r="V40" t="str">
        <f t="shared" si="10"/>
        <v>Profitable</v>
      </c>
      <c r="W40" t="str" cm="1">
        <f t="array" ref="W40">_xlfn.IFS(S40&lt;0,"Loss", S40&lt;0.15,"Low Margin",S40&lt;0.3,"Medium High", TRUE, "High Margin")</f>
        <v>High Margin</v>
      </c>
      <c r="X40" t="str">
        <f t="shared" si="11"/>
        <v>05-2024</v>
      </c>
    </row>
    <row r="41" spans="1:24" x14ac:dyDescent="0.3">
      <c r="A41">
        <v>10020</v>
      </c>
      <c r="B41" s="1">
        <v>45508</v>
      </c>
      <c r="C41" t="s">
        <v>41</v>
      </c>
      <c r="E41" t="s">
        <v>18</v>
      </c>
      <c r="G41" t="s">
        <v>20</v>
      </c>
      <c r="H41" t="s">
        <v>16</v>
      </c>
      <c r="I41">
        <v>57901.760000000002</v>
      </c>
      <c r="K41">
        <v>152408.49</v>
      </c>
      <c r="L41" t="str">
        <f t="shared" si="0"/>
        <v>Neha</v>
      </c>
      <c r="M41" t="str">
        <f t="shared" si="1"/>
        <v>Unknown</v>
      </c>
      <c r="N41" t="str">
        <f t="shared" si="2"/>
        <v>Bengaluru</v>
      </c>
      <c r="O41" t="str">
        <f t="shared" si="3"/>
        <v>Unknown</v>
      </c>
      <c r="P41" s="4" t="str">
        <f t="shared" si="4"/>
        <v>direct</v>
      </c>
      <c r="Q41">
        <f t="shared" si="5"/>
        <v>0</v>
      </c>
      <c r="R41" s="6">
        <f t="shared" si="6"/>
        <v>57901.760000000002</v>
      </c>
      <c r="S41">
        <f t="shared" si="7"/>
        <v>1</v>
      </c>
      <c r="T41">
        <f t="shared" si="8"/>
        <v>0.37991164402980443</v>
      </c>
      <c r="U41">
        <f t="shared" si="9"/>
        <v>-94506.729999999981</v>
      </c>
      <c r="V41" t="str">
        <f t="shared" si="10"/>
        <v>Profitable</v>
      </c>
      <c r="W41" t="str" cm="1">
        <f t="array" ref="W41">_xlfn.IFS(S41&lt;0,"Loss", S41&lt;0.15,"Low Margin",S41&lt;0.3,"Medium High", TRUE, "High Margin")</f>
        <v>High Margin</v>
      </c>
      <c r="X41" t="str">
        <f t="shared" si="11"/>
        <v>08-2024</v>
      </c>
    </row>
    <row r="42" spans="1:24" x14ac:dyDescent="0.3">
      <c r="A42">
        <v>10166</v>
      </c>
      <c r="B42" s="1">
        <v>45423</v>
      </c>
      <c r="C42" t="s">
        <v>29</v>
      </c>
      <c r="D42" t="s">
        <v>37</v>
      </c>
      <c r="E42" t="s">
        <v>24</v>
      </c>
      <c r="G42" t="s">
        <v>27</v>
      </c>
      <c r="I42">
        <v>74276.899999999994</v>
      </c>
      <c r="J42">
        <v>103481.56</v>
      </c>
      <c r="K42">
        <v>47313.34</v>
      </c>
      <c r="L42" t="str">
        <f t="shared" si="0"/>
        <v>Sneha</v>
      </c>
      <c r="M42" t="str">
        <f t="shared" si="1"/>
        <v>North</v>
      </c>
      <c r="N42" t="str">
        <f t="shared" si="2"/>
        <v>Chennai</v>
      </c>
      <c r="O42" t="str">
        <f t="shared" si="3"/>
        <v>Unknown</v>
      </c>
      <c r="P42" s="4" t="str">
        <f t="shared" si="4"/>
        <v>Unknown</v>
      </c>
      <c r="Q42">
        <f t="shared" si="5"/>
        <v>103481.56</v>
      </c>
      <c r="R42" s="6">
        <f t="shared" si="6"/>
        <v>-29204.660000000003</v>
      </c>
      <c r="S42">
        <f t="shared" si="7"/>
        <v>-0.39318630691372425</v>
      </c>
      <c r="T42">
        <f t="shared" si="8"/>
        <v>1.5698933958160637</v>
      </c>
      <c r="U42">
        <f t="shared" si="9"/>
        <v>26963.559999999998</v>
      </c>
      <c r="V42" t="str">
        <f t="shared" si="10"/>
        <v>Unprofitable</v>
      </c>
      <c r="W42" t="str" cm="1">
        <f t="array" ref="W42">_xlfn.IFS(S42&lt;0,"Loss", S42&lt;0.15,"Low Margin",S42&lt;0.3,"Medium High", TRUE, "High Margin")</f>
        <v>Loss</v>
      </c>
      <c r="X42" t="str">
        <f t="shared" si="11"/>
        <v>05-2024</v>
      </c>
    </row>
    <row r="43" spans="1:24" x14ac:dyDescent="0.3">
      <c r="A43">
        <v>10273</v>
      </c>
      <c r="B43" s="1">
        <v>45361</v>
      </c>
      <c r="C43" t="s">
        <v>45</v>
      </c>
      <c r="D43" t="s">
        <v>23</v>
      </c>
      <c r="E43" t="s">
        <v>35</v>
      </c>
      <c r="G43" t="s">
        <v>27</v>
      </c>
      <c r="H43" t="s">
        <v>28</v>
      </c>
      <c r="I43">
        <v>184157.28</v>
      </c>
      <c r="J43">
        <v>82202.070000000007</v>
      </c>
      <c r="K43">
        <v>24874.19</v>
      </c>
      <c r="L43" t="str">
        <f t="shared" si="0"/>
        <v>Rahul</v>
      </c>
      <c r="M43" t="str">
        <f t="shared" si="1"/>
        <v>West</v>
      </c>
      <c r="N43" t="str">
        <f t="shared" si="2"/>
        <v>Hyderabad</v>
      </c>
      <c r="O43" t="str">
        <f t="shared" si="3"/>
        <v>Unknown</v>
      </c>
      <c r="P43" s="4" t="str">
        <f t="shared" si="4"/>
        <v>Direct</v>
      </c>
      <c r="Q43">
        <f t="shared" si="5"/>
        <v>82202.070000000007</v>
      </c>
      <c r="R43" s="6">
        <f t="shared" si="6"/>
        <v>101955.20999999999</v>
      </c>
      <c r="S43">
        <f t="shared" si="7"/>
        <v>0.55363116787997735</v>
      </c>
      <c r="T43">
        <f t="shared" si="8"/>
        <v>7.4035488190771241</v>
      </c>
      <c r="U43">
        <f t="shared" si="9"/>
        <v>159283.09</v>
      </c>
      <c r="V43" t="str">
        <f t="shared" si="10"/>
        <v>Profitable</v>
      </c>
      <c r="W43" t="str" cm="1">
        <f t="array" ref="W43">_xlfn.IFS(S43&lt;0,"Loss", S43&lt;0.15,"Low Margin",S43&lt;0.3,"Medium High", TRUE, "High Margin")</f>
        <v>High Margin</v>
      </c>
      <c r="X43" t="str">
        <f t="shared" si="11"/>
        <v>03-2024</v>
      </c>
    </row>
    <row r="44" spans="1:24" x14ac:dyDescent="0.3">
      <c r="A44">
        <v>10387</v>
      </c>
      <c r="B44" s="1">
        <v>45543</v>
      </c>
      <c r="C44" t="s">
        <v>25</v>
      </c>
      <c r="D44" t="s">
        <v>17</v>
      </c>
      <c r="E44" t="s">
        <v>26</v>
      </c>
      <c r="F44" t="s">
        <v>32</v>
      </c>
      <c r="G44" t="s">
        <v>42</v>
      </c>
      <c r="H44" t="s">
        <v>28</v>
      </c>
      <c r="I44">
        <v>63776.87</v>
      </c>
      <c r="J44">
        <v>101035.28</v>
      </c>
      <c r="K44">
        <v>52711.74</v>
      </c>
      <c r="L44" t="str">
        <f t="shared" si="0"/>
        <v>Priya</v>
      </c>
      <c r="M44" t="str">
        <f t="shared" si="1"/>
        <v>West</v>
      </c>
      <c r="N44" t="str">
        <f t="shared" si="2"/>
        <v>Mumbai</v>
      </c>
      <c r="O44" t="str">
        <f t="shared" si="3"/>
        <v>Smb</v>
      </c>
      <c r="P44" s="4" t="str">
        <f t="shared" si="4"/>
        <v>Direct</v>
      </c>
      <c r="Q44">
        <f t="shared" si="5"/>
        <v>101035.28</v>
      </c>
      <c r="R44" s="6">
        <f t="shared" si="6"/>
        <v>-37258.409999999996</v>
      </c>
      <c r="S44">
        <f t="shared" si="7"/>
        <v>-0.58419941273380138</v>
      </c>
      <c r="T44">
        <f t="shared" si="8"/>
        <v>1.2099177526676221</v>
      </c>
      <c r="U44">
        <f t="shared" si="9"/>
        <v>11065.130000000005</v>
      </c>
      <c r="V44" t="str">
        <f t="shared" si="10"/>
        <v>Unprofitable</v>
      </c>
      <c r="W44" t="str" cm="1">
        <f t="array" ref="W44">_xlfn.IFS(S44&lt;0,"Loss", S44&lt;0.15,"Low Margin",S44&lt;0.3,"Medium High", TRUE, "High Margin")</f>
        <v>Loss</v>
      </c>
      <c r="X44" t="str">
        <f t="shared" si="11"/>
        <v>09-2024</v>
      </c>
    </row>
    <row r="45" spans="1:24" x14ac:dyDescent="0.3">
      <c r="A45">
        <v>10315</v>
      </c>
      <c r="B45" s="1">
        <v>45473</v>
      </c>
      <c r="C45" t="s">
        <v>36</v>
      </c>
      <c r="D45" t="s">
        <v>17</v>
      </c>
      <c r="F45" t="s">
        <v>19</v>
      </c>
      <c r="G45" t="s">
        <v>15</v>
      </c>
      <c r="H45" t="s">
        <v>16</v>
      </c>
      <c r="I45">
        <v>98237.75</v>
      </c>
      <c r="J45">
        <v>103475.42</v>
      </c>
      <c r="K45">
        <v>74465.850000000006</v>
      </c>
      <c r="L45" t="str">
        <f t="shared" si="0"/>
        <v>Amit</v>
      </c>
      <c r="M45" t="str">
        <f t="shared" si="1"/>
        <v>West</v>
      </c>
      <c r="N45" t="str">
        <f t="shared" si="2"/>
        <v>Unknown</v>
      </c>
      <c r="O45" t="str">
        <f t="shared" si="3"/>
        <v>Startup</v>
      </c>
      <c r="P45" s="4" t="str">
        <f t="shared" si="4"/>
        <v>direct</v>
      </c>
      <c r="Q45">
        <f t="shared" si="5"/>
        <v>103475.42</v>
      </c>
      <c r="R45" s="6">
        <f t="shared" si="6"/>
        <v>-5237.6699999999983</v>
      </c>
      <c r="S45">
        <f t="shared" si="7"/>
        <v>-5.3316265895747797E-2</v>
      </c>
      <c r="T45">
        <f t="shared" si="8"/>
        <v>1.3192322386704778</v>
      </c>
      <c r="U45">
        <f t="shared" si="9"/>
        <v>23771.899999999994</v>
      </c>
      <c r="V45" t="str">
        <f t="shared" si="10"/>
        <v>Unprofitable</v>
      </c>
      <c r="W45" t="str" cm="1">
        <f t="array" ref="W45">_xlfn.IFS(S45&lt;0,"Loss", S45&lt;0.15,"Low Margin",S45&lt;0.3,"Medium High", TRUE, "High Margin")</f>
        <v>Loss</v>
      </c>
      <c r="X45" t="str">
        <f t="shared" si="11"/>
        <v>06-2024</v>
      </c>
    </row>
    <row r="46" spans="1:24" x14ac:dyDescent="0.3">
      <c r="A46">
        <v>10013</v>
      </c>
      <c r="B46" s="1">
        <v>45458</v>
      </c>
      <c r="C46" t="s">
        <v>11</v>
      </c>
      <c r="D46" t="s">
        <v>17</v>
      </c>
      <c r="E46" t="s">
        <v>35</v>
      </c>
      <c r="G46" t="s">
        <v>43</v>
      </c>
      <c r="H46" t="s">
        <v>21</v>
      </c>
      <c r="I46">
        <v>178907.1</v>
      </c>
      <c r="K46">
        <v>101692.92</v>
      </c>
      <c r="L46" t="str">
        <f t="shared" si="0"/>
        <v>Rahul</v>
      </c>
      <c r="M46" t="str">
        <f t="shared" si="1"/>
        <v>West</v>
      </c>
      <c r="N46" t="str">
        <f t="shared" si="2"/>
        <v>Hyderabad</v>
      </c>
      <c r="O46" t="str">
        <f t="shared" si="3"/>
        <v>Unknown</v>
      </c>
      <c r="P46" s="4" t="str">
        <f t="shared" si="4"/>
        <v>Online</v>
      </c>
      <c r="Q46">
        <f t="shared" si="5"/>
        <v>0</v>
      </c>
      <c r="R46" s="6">
        <f t="shared" si="6"/>
        <v>178907.1</v>
      </c>
      <c r="S46">
        <f t="shared" si="7"/>
        <v>1</v>
      </c>
      <c r="T46">
        <f t="shared" si="8"/>
        <v>1.759287667224031</v>
      </c>
      <c r="U46">
        <f t="shared" si="9"/>
        <v>77214.180000000008</v>
      </c>
      <c r="V46" t="str">
        <f t="shared" si="10"/>
        <v>Profitable</v>
      </c>
      <c r="W46" t="str" cm="1">
        <f t="array" ref="W46">_xlfn.IFS(S46&lt;0,"Loss", S46&lt;0.15,"Low Margin",S46&lt;0.3,"Medium High", TRUE, "High Margin")</f>
        <v>High Margin</v>
      </c>
      <c r="X46" t="str">
        <f t="shared" si="11"/>
        <v>06-2024</v>
      </c>
    </row>
    <row r="47" spans="1:24" x14ac:dyDescent="0.3">
      <c r="A47">
        <v>10241</v>
      </c>
      <c r="B47" s="1">
        <v>45382</v>
      </c>
      <c r="C47" t="s">
        <v>22</v>
      </c>
      <c r="D47" t="s">
        <v>37</v>
      </c>
      <c r="E47" t="s">
        <v>13</v>
      </c>
      <c r="G47" t="s">
        <v>43</v>
      </c>
      <c r="I47">
        <v>143882.5</v>
      </c>
      <c r="J47">
        <v>54387.64</v>
      </c>
      <c r="K47">
        <v>118420.66</v>
      </c>
      <c r="L47" t="str">
        <f t="shared" si="0"/>
        <v>Amit</v>
      </c>
      <c r="M47" t="str">
        <f t="shared" si="1"/>
        <v>North</v>
      </c>
      <c r="N47" t="str">
        <f t="shared" si="2"/>
        <v>Bengaluru</v>
      </c>
      <c r="O47" t="str">
        <f t="shared" si="3"/>
        <v>Unknown</v>
      </c>
      <c r="P47" s="4" t="str">
        <f t="shared" si="4"/>
        <v>Unknown</v>
      </c>
      <c r="Q47">
        <f t="shared" si="5"/>
        <v>54387.64</v>
      </c>
      <c r="R47" s="6">
        <f t="shared" si="6"/>
        <v>89494.86</v>
      </c>
      <c r="S47">
        <f t="shared" si="7"/>
        <v>0.62199961774364498</v>
      </c>
      <c r="T47">
        <f t="shared" si="8"/>
        <v>1.215011806216922</v>
      </c>
      <c r="U47">
        <f t="shared" si="9"/>
        <v>25461.839999999997</v>
      </c>
      <c r="V47" t="str">
        <f t="shared" si="10"/>
        <v>Profitable</v>
      </c>
      <c r="W47" t="str" cm="1">
        <f t="array" ref="W47">_xlfn.IFS(S47&lt;0,"Loss", S47&lt;0.15,"Low Margin",S47&lt;0.3,"Medium High", TRUE, "High Margin")</f>
        <v>High Margin</v>
      </c>
      <c r="X47" t="str">
        <f t="shared" si="11"/>
        <v>03-2024</v>
      </c>
    </row>
    <row r="48" spans="1:24" x14ac:dyDescent="0.3">
      <c r="A48">
        <v>10345</v>
      </c>
      <c r="B48" s="1">
        <v>45493</v>
      </c>
      <c r="C48" t="s">
        <v>22</v>
      </c>
      <c r="D48" t="s">
        <v>23</v>
      </c>
      <c r="E48" t="s">
        <v>24</v>
      </c>
      <c r="F48" t="s">
        <v>32</v>
      </c>
      <c r="G48" t="s">
        <v>20</v>
      </c>
      <c r="H48" t="s">
        <v>33</v>
      </c>
      <c r="I48">
        <v>19943.02</v>
      </c>
      <c r="J48">
        <v>74433.97</v>
      </c>
      <c r="K48">
        <v>165696.91</v>
      </c>
      <c r="L48" t="str">
        <f t="shared" si="0"/>
        <v>Amit</v>
      </c>
      <c r="M48" t="str">
        <f t="shared" si="1"/>
        <v>West</v>
      </c>
      <c r="N48" t="str">
        <f t="shared" si="2"/>
        <v>Chennai</v>
      </c>
      <c r="O48" t="str">
        <f t="shared" si="3"/>
        <v>Smb</v>
      </c>
      <c r="P48" s="4" t="str">
        <f t="shared" si="4"/>
        <v>Partner</v>
      </c>
      <c r="Q48">
        <f t="shared" si="5"/>
        <v>74433.97</v>
      </c>
      <c r="R48" s="6">
        <f t="shared" si="6"/>
        <v>-54490.95</v>
      </c>
      <c r="S48">
        <f t="shared" si="7"/>
        <v>-2.7323319136219086</v>
      </c>
      <c r="T48">
        <f t="shared" si="8"/>
        <v>0.12035843034127794</v>
      </c>
      <c r="U48">
        <f t="shared" si="9"/>
        <v>-145753.89000000001</v>
      </c>
      <c r="V48" t="str">
        <f t="shared" si="10"/>
        <v>Unprofitable</v>
      </c>
      <c r="W48" t="str" cm="1">
        <f t="array" ref="W48">_xlfn.IFS(S48&lt;0,"Loss", S48&lt;0.15,"Low Margin",S48&lt;0.3,"Medium High", TRUE, "High Margin")</f>
        <v>Loss</v>
      </c>
      <c r="X48" t="str">
        <f t="shared" si="11"/>
        <v>07-2024</v>
      </c>
    </row>
    <row r="49" spans="1:24" x14ac:dyDescent="0.3">
      <c r="A49">
        <v>10564</v>
      </c>
      <c r="B49" s="1">
        <v>45310</v>
      </c>
      <c r="C49" t="s">
        <v>45</v>
      </c>
      <c r="D49" t="s">
        <v>37</v>
      </c>
      <c r="E49" t="s">
        <v>24</v>
      </c>
      <c r="F49" t="s">
        <v>32</v>
      </c>
      <c r="G49" t="s">
        <v>20</v>
      </c>
      <c r="H49" t="s">
        <v>16</v>
      </c>
      <c r="I49">
        <v>36282.18</v>
      </c>
      <c r="J49">
        <v>21762.75</v>
      </c>
      <c r="K49">
        <v>101576.64</v>
      </c>
      <c r="L49" t="str">
        <f t="shared" si="0"/>
        <v>Rahul</v>
      </c>
      <c r="M49" t="str">
        <f t="shared" si="1"/>
        <v>North</v>
      </c>
      <c r="N49" t="str">
        <f t="shared" si="2"/>
        <v>Chennai</v>
      </c>
      <c r="O49" t="str">
        <f t="shared" si="3"/>
        <v>Smb</v>
      </c>
      <c r="P49" s="4" t="str">
        <f t="shared" si="4"/>
        <v>direct</v>
      </c>
      <c r="Q49">
        <f t="shared" si="5"/>
        <v>21762.75</v>
      </c>
      <c r="R49" s="6">
        <f t="shared" si="6"/>
        <v>14519.43</v>
      </c>
      <c r="S49">
        <f t="shared" si="7"/>
        <v>0.40018074988878838</v>
      </c>
      <c r="T49">
        <f t="shared" si="8"/>
        <v>0.35719019648612121</v>
      </c>
      <c r="U49">
        <f t="shared" si="9"/>
        <v>-65294.46</v>
      </c>
      <c r="V49" t="str">
        <f t="shared" si="10"/>
        <v>Profitable</v>
      </c>
      <c r="W49" t="str" cm="1">
        <f t="array" ref="W49">_xlfn.IFS(S49&lt;0,"Loss", S49&lt;0.15,"Low Margin",S49&lt;0.3,"Medium High", TRUE, "High Margin")</f>
        <v>High Margin</v>
      </c>
      <c r="X49" t="str">
        <f t="shared" si="11"/>
        <v>01-2024</v>
      </c>
    </row>
    <row r="50" spans="1:24" x14ac:dyDescent="0.3">
      <c r="A50">
        <v>10339</v>
      </c>
      <c r="B50" s="1">
        <v>45330</v>
      </c>
      <c r="C50" t="s">
        <v>45</v>
      </c>
      <c r="D50" t="s">
        <v>17</v>
      </c>
      <c r="E50" t="s">
        <v>13</v>
      </c>
      <c r="G50" t="s">
        <v>15</v>
      </c>
      <c r="H50" t="s">
        <v>33</v>
      </c>
      <c r="I50">
        <v>9505.59</v>
      </c>
      <c r="J50">
        <v>81816.509999999995</v>
      </c>
      <c r="K50">
        <v>100204.1</v>
      </c>
      <c r="L50" t="str">
        <f t="shared" si="0"/>
        <v>Rahul</v>
      </c>
      <c r="M50" t="str">
        <f t="shared" si="1"/>
        <v>West</v>
      </c>
      <c r="N50" t="str">
        <f t="shared" si="2"/>
        <v>Bengaluru</v>
      </c>
      <c r="O50" t="str">
        <f t="shared" si="3"/>
        <v>Unknown</v>
      </c>
      <c r="P50" s="4" t="str">
        <f t="shared" si="4"/>
        <v>Partner</v>
      </c>
      <c r="Q50">
        <f t="shared" si="5"/>
        <v>81816.509999999995</v>
      </c>
      <c r="R50" s="6">
        <f t="shared" si="6"/>
        <v>-72310.92</v>
      </c>
      <c r="S50">
        <f t="shared" si="7"/>
        <v>-7.6071995531050671</v>
      </c>
      <c r="T50">
        <f t="shared" si="8"/>
        <v>9.4862286074122712E-2</v>
      </c>
      <c r="U50">
        <f t="shared" si="9"/>
        <v>-90698.510000000009</v>
      </c>
      <c r="V50" t="str">
        <f t="shared" si="10"/>
        <v>Unprofitable</v>
      </c>
      <c r="W50" t="str" cm="1">
        <f t="array" ref="W50">_xlfn.IFS(S50&lt;0,"Loss", S50&lt;0.15,"Low Margin",S50&lt;0.3,"Medium High", TRUE, "High Margin")</f>
        <v>Loss</v>
      </c>
      <c r="X50" t="str">
        <f t="shared" si="11"/>
        <v>02-2024</v>
      </c>
    </row>
    <row r="51" spans="1:24" x14ac:dyDescent="0.3">
      <c r="A51">
        <v>10091</v>
      </c>
      <c r="B51" s="1">
        <v>45417</v>
      </c>
      <c r="C51" t="s">
        <v>41</v>
      </c>
      <c r="E51" t="s">
        <v>38</v>
      </c>
      <c r="F51" t="s">
        <v>39</v>
      </c>
      <c r="G51" t="s">
        <v>20</v>
      </c>
      <c r="H51" t="s">
        <v>16</v>
      </c>
      <c r="I51">
        <v>129136.98</v>
      </c>
      <c r="J51">
        <v>23972.63</v>
      </c>
      <c r="K51">
        <v>28038.880000000001</v>
      </c>
      <c r="L51" t="str">
        <f t="shared" si="0"/>
        <v>Neha</v>
      </c>
      <c r="M51" t="str">
        <f t="shared" si="1"/>
        <v>Unknown</v>
      </c>
      <c r="N51" t="str">
        <f t="shared" si="2"/>
        <v>Delhi</v>
      </c>
      <c r="O51" t="str">
        <f t="shared" si="3"/>
        <v>Enterprise</v>
      </c>
      <c r="P51" s="4" t="str">
        <f t="shared" si="4"/>
        <v>direct</v>
      </c>
      <c r="Q51">
        <f t="shared" si="5"/>
        <v>23972.63</v>
      </c>
      <c r="R51" s="6">
        <f t="shared" si="6"/>
        <v>105164.34999999999</v>
      </c>
      <c r="S51">
        <f t="shared" si="7"/>
        <v>0.814362779739777</v>
      </c>
      <c r="T51">
        <f t="shared" si="8"/>
        <v>4.6056397402464002</v>
      </c>
      <c r="U51">
        <f t="shared" si="9"/>
        <v>101098.09999999999</v>
      </c>
      <c r="V51" t="str">
        <f t="shared" si="10"/>
        <v>Profitable</v>
      </c>
      <c r="W51" t="str" cm="1">
        <f t="array" ref="W51">_xlfn.IFS(S51&lt;0,"Loss", S51&lt;0.15,"Low Margin",S51&lt;0.3,"Medium High", TRUE, "High Margin")</f>
        <v>High Margin</v>
      </c>
      <c r="X51" t="str">
        <f t="shared" si="11"/>
        <v>05-2024</v>
      </c>
    </row>
    <row r="52" spans="1:24" x14ac:dyDescent="0.3">
      <c r="A52">
        <v>10366</v>
      </c>
      <c r="B52" s="1">
        <v>45464</v>
      </c>
      <c r="C52" t="s">
        <v>36</v>
      </c>
      <c r="D52" t="s">
        <v>23</v>
      </c>
      <c r="G52" t="s">
        <v>43</v>
      </c>
      <c r="H52" t="s">
        <v>21</v>
      </c>
      <c r="I52">
        <v>93953.3</v>
      </c>
      <c r="J52">
        <v>84192.1</v>
      </c>
      <c r="K52">
        <v>25585.85</v>
      </c>
      <c r="L52" t="str">
        <f t="shared" si="0"/>
        <v>Amit</v>
      </c>
      <c r="M52" t="str">
        <f t="shared" si="1"/>
        <v>West</v>
      </c>
      <c r="N52" t="str">
        <f t="shared" si="2"/>
        <v>Unknown</v>
      </c>
      <c r="O52" t="str">
        <f t="shared" si="3"/>
        <v>Unknown</v>
      </c>
      <c r="P52" s="4" t="str">
        <f t="shared" si="4"/>
        <v>Online</v>
      </c>
      <c r="Q52">
        <f t="shared" si="5"/>
        <v>84192.1</v>
      </c>
      <c r="R52" s="6">
        <f t="shared" si="6"/>
        <v>9761.1999999999971</v>
      </c>
      <c r="S52">
        <f t="shared" si="7"/>
        <v>0.10389416869870453</v>
      </c>
      <c r="T52">
        <f t="shared" si="8"/>
        <v>3.672080466351519</v>
      </c>
      <c r="U52">
        <f t="shared" si="9"/>
        <v>68367.450000000012</v>
      </c>
      <c r="V52" t="str">
        <f t="shared" si="10"/>
        <v>Profitable</v>
      </c>
      <c r="W52" t="str" cm="1">
        <f t="array" ref="W52">_xlfn.IFS(S52&lt;0,"Loss", S52&lt;0.15,"Low Margin",S52&lt;0.3,"Medium High", TRUE, "High Margin")</f>
        <v>Low Margin</v>
      </c>
      <c r="X52" t="str">
        <f t="shared" si="11"/>
        <v>06-2024</v>
      </c>
    </row>
    <row r="53" spans="1:24" x14ac:dyDescent="0.3">
      <c r="A53">
        <v>10454</v>
      </c>
      <c r="B53" s="1">
        <v>45432</v>
      </c>
      <c r="C53" t="s">
        <v>22</v>
      </c>
      <c r="D53" t="s">
        <v>23</v>
      </c>
      <c r="E53" t="s">
        <v>13</v>
      </c>
      <c r="G53" t="s">
        <v>40</v>
      </c>
      <c r="H53" t="s">
        <v>21</v>
      </c>
      <c r="I53">
        <v>33780.769999999997</v>
      </c>
      <c r="J53">
        <v>29862.98</v>
      </c>
      <c r="K53">
        <v>108185.59</v>
      </c>
      <c r="L53" t="str">
        <f t="shared" si="0"/>
        <v>Amit</v>
      </c>
      <c r="M53" t="str">
        <f t="shared" si="1"/>
        <v>West</v>
      </c>
      <c r="N53" t="str">
        <f t="shared" si="2"/>
        <v>Bengaluru</v>
      </c>
      <c r="O53" t="str">
        <f t="shared" si="3"/>
        <v>Unknown</v>
      </c>
      <c r="P53" s="4" t="str">
        <f t="shared" si="4"/>
        <v>Online</v>
      </c>
      <c r="Q53">
        <f t="shared" si="5"/>
        <v>29862.98</v>
      </c>
      <c r="R53" s="6">
        <f t="shared" si="6"/>
        <v>3917.7899999999972</v>
      </c>
      <c r="S53">
        <f t="shared" si="7"/>
        <v>0.11597693006997761</v>
      </c>
      <c r="T53">
        <f t="shared" si="8"/>
        <v>0.31224833177875166</v>
      </c>
      <c r="U53">
        <f t="shared" si="9"/>
        <v>-74404.820000000007</v>
      </c>
      <c r="V53" t="str">
        <f t="shared" si="10"/>
        <v>Profitable</v>
      </c>
      <c r="W53" t="str" cm="1">
        <f t="array" ref="W53">_xlfn.IFS(S53&lt;0,"Loss", S53&lt;0.15,"Low Margin",S53&lt;0.3,"Medium High", TRUE, "High Margin")</f>
        <v>Low Margin</v>
      </c>
      <c r="X53" t="str">
        <f t="shared" si="11"/>
        <v>05-2024</v>
      </c>
    </row>
    <row r="54" spans="1:24" x14ac:dyDescent="0.3">
      <c r="A54">
        <v>10427</v>
      </c>
      <c r="B54" s="1">
        <v>45533</v>
      </c>
      <c r="C54" t="s">
        <v>22</v>
      </c>
      <c r="D54" t="s">
        <v>31</v>
      </c>
      <c r="E54" t="s">
        <v>44</v>
      </c>
      <c r="F54" t="s">
        <v>32</v>
      </c>
      <c r="G54" t="s">
        <v>27</v>
      </c>
      <c r="H54" t="s">
        <v>21</v>
      </c>
      <c r="I54">
        <v>191923.35</v>
      </c>
      <c r="J54">
        <v>16753.5</v>
      </c>
      <c r="L54" t="str">
        <f t="shared" si="0"/>
        <v>Amit</v>
      </c>
      <c r="M54" t="str">
        <f t="shared" si="1"/>
        <v>South</v>
      </c>
      <c r="N54" t="str">
        <f t="shared" si="2"/>
        <v>Pune</v>
      </c>
      <c r="O54" t="str">
        <f t="shared" si="3"/>
        <v>Smb</v>
      </c>
      <c r="P54" s="4" t="str">
        <f t="shared" si="4"/>
        <v>Online</v>
      </c>
      <c r="Q54">
        <f t="shared" si="5"/>
        <v>16753.5</v>
      </c>
      <c r="R54" s="6">
        <f t="shared" si="6"/>
        <v>175169.85</v>
      </c>
      <c r="S54">
        <f t="shared" si="7"/>
        <v>0.91270733863284481</v>
      </c>
      <c r="T54">
        <f t="shared" si="8"/>
        <v>0</v>
      </c>
      <c r="U54">
        <f t="shared" si="9"/>
        <v>191923.35</v>
      </c>
      <c r="V54" t="str">
        <f t="shared" si="10"/>
        <v>Profitable</v>
      </c>
      <c r="W54" t="str" cm="1">
        <f t="array" ref="W54">_xlfn.IFS(S54&lt;0,"Loss", S54&lt;0.15,"Low Margin",S54&lt;0.3,"Medium High", TRUE, "High Margin")</f>
        <v>High Margin</v>
      </c>
      <c r="X54" t="str">
        <f t="shared" si="11"/>
        <v>08-2024</v>
      </c>
    </row>
    <row r="55" spans="1:24" x14ac:dyDescent="0.3">
      <c r="A55">
        <v>10508</v>
      </c>
      <c r="B55" s="1">
        <v>45511</v>
      </c>
      <c r="C55" t="s">
        <v>41</v>
      </c>
      <c r="D55" t="s">
        <v>31</v>
      </c>
      <c r="E55" t="s">
        <v>44</v>
      </c>
      <c r="F55" t="s">
        <v>32</v>
      </c>
      <c r="G55" t="s">
        <v>40</v>
      </c>
      <c r="H55" t="s">
        <v>21</v>
      </c>
      <c r="I55">
        <v>109694.67</v>
      </c>
      <c r="J55">
        <v>22338.29</v>
      </c>
      <c r="K55">
        <v>154268.85999999999</v>
      </c>
      <c r="L55" t="str">
        <f t="shared" si="0"/>
        <v>Neha</v>
      </c>
      <c r="M55" t="str">
        <f t="shared" si="1"/>
        <v>South</v>
      </c>
      <c r="N55" t="str">
        <f t="shared" si="2"/>
        <v>Pune</v>
      </c>
      <c r="O55" t="str">
        <f t="shared" si="3"/>
        <v>Smb</v>
      </c>
      <c r="P55" s="4" t="str">
        <f t="shared" si="4"/>
        <v>Online</v>
      </c>
      <c r="Q55">
        <f t="shared" si="5"/>
        <v>22338.29</v>
      </c>
      <c r="R55" s="6">
        <f t="shared" si="6"/>
        <v>87356.38</v>
      </c>
      <c r="S55">
        <f t="shared" si="7"/>
        <v>0.79635938555629004</v>
      </c>
      <c r="T55">
        <f t="shared" si="8"/>
        <v>0.71106164912348491</v>
      </c>
      <c r="U55">
        <f t="shared" si="9"/>
        <v>-44574.189999999988</v>
      </c>
      <c r="V55" t="str">
        <f t="shared" si="10"/>
        <v>Profitable</v>
      </c>
      <c r="W55" t="str" cm="1">
        <f t="array" ref="W55">_xlfn.IFS(S55&lt;0,"Loss", S55&lt;0.15,"Low Margin",S55&lt;0.3,"Medium High", TRUE, "High Margin")</f>
        <v>High Margin</v>
      </c>
      <c r="X55" t="str">
        <f t="shared" si="11"/>
        <v>08-2024</v>
      </c>
    </row>
    <row r="56" spans="1:24" x14ac:dyDescent="0.3">
      <c r="A56">
        <v>10034</v>
      </c>
      <c r="B56" s="1">
        <v>45417</v>
      </c>
      <c r="C56" t="s">
        <v>22</v>
      </c>
      <c r="D56" t="s">
        <v>12</v>
      </c>
      <c r="E56" t="s">
        <v>26</v>
      </c>
      <c r="G56" t="s">
        <v>40</v>
      </c>
      <c r="H56" t="s">
        <v>28</v>
      </c>
      <c r="I56">
        <v>54443.51</v>
      </c>
      <c r="L56" t="str">
        <f t="shared" si="0"/>
        <v>Amit</v>
      </c>
      <c r="M56" t="str">
        <f t="shared" si="1"/>
        <v>South</v>
      </c>
      <c r="N56" t="str">
        <f t="shared" si="2"/>
        <v>Mumbai</v>
      </c>
      <c r="O56" t="str">
        <f t="shared" si="3"/>
        <v>Unknown</v>
      </c>
      <c r="P56" s="4" t="str">
        <f t="shared" si="4"/>
        <v>Direct</v>
      </c>
      <c r="Q56">
        <f t="shared" si="5"/>
        <v>0</v>
      </c>
      <c r="R56" s="6">
        <f t="shared" si="6"/>
        <v>54443.51</v>
      </c>
      <c r="S56">
        <f t="shared" si="7"/>
        <v>1</v>
      </c>
      <c r="T56">
        <f t="shared" si="8"/>
        <v>0</v>
      </c>
      <c r="U56">
        <f t="shared" si="9"/>
        <v>54443.51</v>
      </c>
      <c r="V56" t="str">
        <f t="shared" si="10"/>
        <v>Profitable</v>
      </c>
      <c r="W56" t="str" cm="1">
        <f t="array" ref="W56">_xlfn.IFS(S56&lt;0,"Loss", S56&lt;0.15,"Low Margin",S56&lt;0.3,"Medium High", TRUE, "High Margin")</f>
        <v>High Margin</v>
      </c>
      <c r="X56" t="str">
        <f t="shared" si="11"/>
        <v>05-2024</v>
      </c>
    </row>
    <row r="57" spans="1:24" x14ac:dyDescent="0.3">
      <c r="A57">
        <v>10205</v>
      </c>
      <c r="B57" s="1">
        <v>45349</v>
      </c>
      <c r="C57" t="s">
        <v>11</v>
      </c>
      <c r="D57" t="s">
        <v>34</v>
      </c>
      <c r="E57" t="s">
        <v>24</v>
      </c>
      <c r="G57" t="s">
        <v>43</v>
      </c>
      <c r="H57" t="s">
        <v>28</v>
      </c>
      <c r="I57">
        <v>104115.89</v>
      </c>
      <c r="K57">
        <v>23995.47</v>
      </c>
      <c r="L57" t="str">
        <f t="shared" si="0"/>
        <v>Rahul</v>
      </c>
      <c r="M57" t="str">
        <f t="shared" si="1"/>
        <v>East</v>
      </c>
      <c r="N57" t="str">
        <f t="shared" si="2"/>
        <v>Chennai</v>
      </c>
      <c r="O57" t="str">
        <f t="shared" si="3"/>
        <v>Unknown</v>
      </c>
      <c r="P57" s="4" t="str">
        <f t="shared" si="4"/>
        <v>Direct</v>
      </c>
      <c r="Q57">
        <f t="shared" si="5"/>
        <v>0</v>
      </c>
      <c r="R57" s="6">
        <f t="shared" si="6"/>
        <v>104115.89</v>
      </c>
      <c r="S57">
        <f t="shared" si="7"/>
        <v>1</v>
      </c>
      <c r="T57">
        <f t="shared" si="8"/>
        <v>4.3389810660095423</v>
      </c>
      <c r="U57">
        <f t="shared" si="9"/>
        <v>80120.42</v>
      </c>
      <c r="V57" t="str">
        <f t="shared" si="10"/>
        <v>Profitable</v>
      </c>
      <c r="W57" t="str" cm="1">
        <f t="array" ref="W57">_xlfn.IFS(S57&lt;0,"Loss", S57&lt;0.15,"Low Margin",S57&lt;0.3,"Medium High", TRUE, "High Margin")</f>
        <v>High Margin</v>
      </c>
      <c r="X57" t="str">
        <f t="shared" si="11"/>
        <v>02-2024</v>
      </c>
    </row>
    <row r="58" spans="1:24" x14ac:dyDescent="0.3">
      <c r="A58">
        <v>10080</v>
      </c>
      <c r="B58" s="1">
        <v>45439</v>
      </c>
      <c r="C58" t="s">
        <v>36</v>
      </c>
      <c r="D58" t="s">
        <v>31</v>
      </c>
      <c r="E58" t="s">
        <v>38</v>
      </c>
      <c r="G58" t="s">
        <v>40</v>
      </c>
      <c r="I58">
        <v>138487.1</v>
      </c>
      <c r="J58">
        <v>88690.92</v>
      </c>
      <c r="K58">
        <v>91846.2</v>
      </c>
      <c r="L58" t="str">
        <f t="shared" si="0"/>
        <v>Amit</v>
      </c>
      <c r="M58" t="str">
        <f t="shared" si="1"/>
        <v>South</v>
      </c>
      <c r="N58" t="str">
        <f t="shared" si="2"/>
        <v>Delhi</v>
      </c>
      <c r="O58" t="str">
        <f t="shared" si="3"/>
        <v>Unknown</v>
      </c>
      <c r="P58" s="4" t="str">
        <f t="shared" si="4"/>
        <v>Unknown</v>
      </c>
      <c r="Q58">
        <f t="shared" si="5"/>
        <v>88690.92</v>
      </c>
      <c r="R58" s="6">
        <f t="shared" si="6"/>
        <v>49796.180000000008</v>
      </c>
      <c r="S58">
        <f t="shared" si="7"/>
        <v>0.35957269666272168</v>
      </c>
      <c r="T58">
        <f t="shared" si="8"/>
        <v>1.5078152389538164</v>
      </c>
      <c r="U58">
        <f t="shared" si="9"/>
        <v>46640.900000000009</v>
      </c>
      <c r="V58" t="str">
        <f t="shared" si="10"/>
        <v>Profitable</v>
      </c>
      <c r="W58" t="str" cm="1">
        <f t="array" ref="W58">_xlfn.IFS(S58&lt;0,"Loss", S58&lt;0.15,"Low Margin",S58&lt;0.3,"Medium High", TRUE, "High Margin")</f>
        <v>High Margin</v>
      </c>
      <c r="X58" t="str">
        <f t="shared" si="11"/>
        <v>05-2024</v>
      </c>
    </row>
    <row r="59" spans="1:24" x14ac:dyDescent="0.3">
      <c r="A59">
        <v>10561</v>
      </c>
      <c r="B59" s="1">
        <v>45292</v>
      </c>
      <c r="D59" t="s">
        <v>37</v>
      </c>
      <c r="E59" t="s">
        <v>38</v>
      </c>
      <c r="F59" t="s">
        <v>32</v>
      </c>
      <c r="G59" t="s">
        <v>15</v>
      </c>
      <c r="H59" t="s">
        <v>33</v>
      </c>
      <c r="I59">
        <v>22637.93</v>
      </c>
      <c r="J59">
        <v>63247.199999999997</v>
      </c>
      <c r="K59">
        <v>57996.57</v>
      </c>
      <c r="L59" t="str">
        <f t="shared" si="0"/>
        <v>Unassigned</v>
      </c>
      <c r="M59" t="str">
        <f t="shared" si="1"/>
        <v>North</v>
      </c>
      <c r="N59" t="str">
        <f t="shared" si="2"/>
        <v>Delhi</v>
      </c>
      <c r="O59" t="str">
        <f t="shared" si="3"/>
        <v>Smb</v>
      </c>
      <c r="P59" s="4" t="str">
        <f t="shared" si="4"/>
        <v>Partner</v>
      </c>
      <c r="Q59">
        <f t="shared" si="5"/>
        <v>63247.199999999997</v>
      </c>
      <c r="R59" s="6">
        <f t="shared" si="6"/>
        <v>-40609.269999999997</v>
      </c>
      <c r="S59">
        <f t="shared" si="7"/>
        <v>-1.793859685934182</v>
      </c>
      <c r="T59">
        <f t="shared" si="8"/>
        <v>0.39033222137102247</v>
      </c>
      <c r="U59">
        <f t="shared" si="9"/>
        <v>-35358.639999999999</v>
      </c>
      <c r="V59" t="str">
        <f t="shared" si="10"/>
        <v>Unprofitable</v>
      </c>
      <c r="W59" t="str" cm="1">
        <f t="array" ref="W59">_xlfn.IFS(S59&lt;0,"Loss", S59&lt;0.15,"Low Margin",S59&lt;0.3,"Medium High", TRUE, "High Margin")</f>
        <v>Loss</v>
      </c>
      <c r="X59" t="str">
        <f t="shared" si="11"/>
        <v>01-2024</v>
      </c>
    </row>
    <row r="60" spans="1:24" x14ac:dyDescent="0.3">
      <c r="A60">
        <v>10387</v>
      </c>
      <c r="B60" s="1">
        <v>45481</v>
      </c>
      <c r="C60" t="s">
        <v>22</v>
      </c>
      <c r="D60" t="s">
        <v>31</v>
      </c>
      <c r="E60" t="s">
        <v>35</v>
      </c>
      <c r="G60" t="s">
        <v>42</v>
      </c>
      <c r="H60" t="s">
        <v>16</v>
      </c>
      <c r="I60">
        <v>60743.13</v>
      </c>
      <c r="J60">
        <v>21879.45</v>
      </c>
      <c r="K60">
        <v>27938.3</v>
      </c>
      <c r="L60" t="str">
        <f t="shared" si="0"/>
        <v>Amit</v>
      </c>
      <c r="M60" t="str">
        <f t="shared" si="1"/>
        <v>South</v>
      </c>
      <c r="N60" t="str">
        <f t="shared" si="2"/>
        <v>Hyderabad</v>
      </c>
      <c r="O60" t="str">
        <f t="shared" si="3"/>
        <v>Unknown</v>
      </c>
      <c r="P60" s="4" t="str">
        <f t="shared" si="4"/>
        <v>direct</v>
      </c>
      <c r="Q60">
        <f t="shared" si="5"/>
        <v>21879.45</v>
      </c>
      <c r="R60" s="6">
        <f t="shared" si="6"/>
        <v>38863.679999999993</v>
      </c>
      <c r="S60">
        <f t="shared" si="7"/>
        <v>0.63980371113572831</v>
      </c>
      <c r="T60">
        <f t="shared" si="8"/>
        <v>2.1741884796140067</v>
      </c>
      <c r="U60">
        <f t="shared" si="9"/>
        <v>32804.83</v>
      </c>
      <c r="V60" t="str">
        <f t="shared" si="10"/>
        <v>Profitable</v>
      </c>
      <c r="W60" t="str" cm="1">
        <f t="array" ref="W60">_xlfn.IFS(S60&lt;0,"Loss", S60&lt;0.15,"Low Margin",S60&lt;0.3,"Medium High", TRUE, "High Margin")</f>
        <v>High Margin</v>
      </c>
      <c r="X60" t="str">
        <f t="shared" si="11"/>
        <v>07-2024</v>
      </c>
    </row>
    <row r="61" spans="1:24" x14ac:dyDescent="0.3">
      <c r="A61">
        <v>10001</v>
      </c>
      <c r="B61" s="1">
        <v>45482</v>
      </c>
      <c r="C61" t="s">
        <v>45</v>
      </c>
      <c r="D61" t="s">
        <v>12</v>
      </c>
      <c r="E61" t="s">
        <v>35</v>
      </c>
      <c r="G61" t="s">
        <v>20</v>
      </c>
      <c r="H61" t="s">
        <v>16</v>
      </c>
      <c r="I61">
        <v>162937.37</v>
      </c>
      <c r="J61">
        <v>12775.86</v>
      </c>
      <c r="K61">
        <v>135935.73000000001</v>
      </c>
      <c r="L61" t="str">
        <f t="shared" si="0"/>
        <v>Rahul</v>
      </c>
      <c r="M61" t="str">
        <f t="shared" si="1"/>
        <v>South</v>
      </c>
      <c r="N61" t="str">
        <f t="shared" si="2"/>
        <v>Hyderabad</v>
      </c>
      <c r="O61" t="str">
        <f t="shared" si="3"/>
        <v>Unknown</v>
      </c>
      <c r="P61" s="4" t="str">
        <f t="shared" si="4"/>
        <v>direct</v>
      </c>
      <c r="Q61">
        <f t="shared" si="5"/>
        <v>12775.86</v>
      </c>
      <c r="R61" s="6">
        <f t="shared" si="6"/>
        <v>150161.51</v>
      </c>
      <c r="S61">
        <f t="shared" si="7"/>
        <v>0.92159036321747434</v>
      </c>
      <c r="T61">
        <f t="shared" si="8"/>
        <v>1.1986353403921102</v>
      </c>
      <c r="U61">
        <f t="shared" si="9"/>
        <v>27001.639999999985</v>
      </c>
      <c r="V61" t="str">
        <f t="shared" si="10"/>
        <v>Profitable</v>
      </c>
      <c r="W61" t="str" cm="1">
        <f t="array" ref="W61">_xlfn.IFS(S61&lt;0,"Loss", S61&lt;0.15,"Low Margin",S61&lt;0.3,"Medium High", TRUE, "High Margin")</f>
        <v>High Margin</v>
      </c>
      <c r="X61" t="str">
        <f t="shared" si="11"/>
        <v>07-2024</v>
      </c>
    </row>
    <row r="62" spans="1:24" x14ac:dyDescent="0.3">
      <c r="A62">
        <v>10389</v>
      </c>
      <c r="B62" s="1">
        <v>45408</v>
      </c>
      <c r="C62" t="s">
        <v>11</v>
      </c>
      <c r="D62" t="s">
        <v>23</v>
      </c>
      <c r="E62" t="s">
        <v>13</v>
      </c>
      <c r="F62" t="s">
        <v>14</v>
      </c>
      <c r="G62" t="s">
        <v>42</v>
      </c>
      <c r="H62" t="s">
        <v>28</v>
      </c>
      <c r="I62">
        <v>96255.66</v>
      </c>
      <c r="J62">
        <v>5238.09</v>
      </c>
      <c r="K62">
        <v>37854.879999999997</v>
      </c>
      <c r="L62" t="str">
        <f t="shared" si="0"/>
        <v>Rahul</v>
      </c>
      <c r="M62" t="str">
        <f t="shared" si="1"/>
        <v>West</v>
      </c>
      <c r="N62" t="str">
        <f t="shared" si="2"/>
        <v>Bengaluru</v>
      </c>
      <c r="O62" t="str">
        <f t="shared" si="3"/>
        <v>Enterprise</v>
      </c>
      <c r="P62" s="4" t="str">
        <f t="shared" si="4"/>
        <v>Direct</v>
      </c>
      <c r="Q62">
        <f t="shared" si="5"/>
        <v>5238.09</v>
      </c>
      <c r="R62" s="6">
        <f t="shared" si="6"/>
        <v>91017.57</v>
      </c>
      <c r="S62">
        <f t="shared" si="7"/>
        <v>0.94558148580561396</v>
      </c>
      <c r="T62">
        <f t="shared" si="8"/>
        <v>2.5427543291644303</v>
      </c>
      <c r="U62">
        <f t="shared" si="9"/>
        <v>58400.780000000006</v>
      </c>
      <c r="V62" t="str">
        <f t="shared" si="10"/>
        <v>Profitable</v>
      </c>
      <c r="W62" t="str" cm="1">
        <f t="array" ref="W62">_xlfn.IFS(S62&lt;0,"Loss", S62&lt;0.15,"Low Margin",S62&lt;0.3,"Medium High", TRUE, "High Margin")</f>
        <v>High Margin</v>
      </c>
      <c r="X62" t="str">
        <f t="shared" si="11"/>
        <v>04-2024</v>
      </c>
    </row>
    <row r="63" spans="1:24" x14ac:dyDescent="0.3">
      <c r="A63">
        <v>10565</v>
      </c>
      <c r="B63" s="1">
        <v>45425</v>
      </c>
      <c r="C63" t="s">
        <v>22</v>
      </c>
      <c r="D63" t="s">
        <v>12</v>
      </c>
      <c r="E63" t="s">
        <v>38</v>
      </c>
      <c r="F63" t="s">
        <v>39</v>
      </c>
      <c r="G63" t="s">
        <v>27</v>
      </c>
      <c r="H63" t="s">
        <v>16</v>
      </c>
      <c r="I63">
        <v>112942.81</v>
      </c>
      <c r="J63">
        <v>22392.54</v>
      </c>
      <c r="K63">
        <v>117331.12</v>
      </c>
      <c r="L63" t="str">
        <f t="shared" si="0"/>
        <v>Amit</v>
      </c>
      <c r="M63" t="str">
        <f t="shared" si="1"/>
        <v>South</v>
      </c>
      <c r="N63" t="str">
        <f t="shared" si="2"/>
        <v>Delhi</v>
      </c>
      <c r="O63" t="str">
        <f t="shared" si="3"/>
        <v>Enterprise</v>
      </c>
      <c r="P63" s="4" t="str">
        <f t="shared" si="4"/>
        <v>direct</v>
      </c>
      <c r="Q63">
        <f t="shared" si="5"/>
        <v>22392.54</v>
      </c>
      <c r="R63" s="6">
        <f t="shared" si="6"/>
        <v>90550.26999999999</v>
      </c>
      <c r="S63">
        <f t="shared" si="7"/>
        <v>0.80173558635560771</v>
      </c>
      <c r="T63">
        <f t="shared" si="8"/>
        <v>0.96259892516154288</v>
      </c>
      <c r="U63">
        <f t="shared" si="9"/>
        <v>-4388.3099999999977</v>
      </c>
      <c r="V63" t="str">
        <f t="shared" si="10"/>
        <v>Profitable</v>
      </c>
      <c r="W63" t="str" cm="1">
        <f t="array" ref="W63">_xlfn.IFS(S63&lt;0,"Loss", S63&lt;0.15,"Low Margin",S63&lt;0.3,"Medium High", TRUE, "High Margin")</f>
        <v>High Margin</v>
      </c>
      <c r="X63" t="str">
        <f t="shared" si="11"/>
        <v>05-2024</v>
      </c>
    </row>
    <row r="64" spans="1:24" x14ac:dyDescent="0.3">
      <c r="A64">
        <v>10105</v>
      </c>
      <c r="B64" s="1">
        <v>45349</v>
      </c>
      <c r="C64" t="s">
        <v>11</v>
      </c>
      <c r="D64" t="s">
        <v>23</v>
      </c>
      <c r="E64" t="s">
        <v>13</v>
      </c>
      <c r="F64" t="s">
        <v>19</v>
      </c>
      <c r="G64" t="s">
        <v>20</v>
      </c>
      <c r="H64" t="s">
        <v>28</v>
      </c>
      <c r="I64">
        <v>91100.67</v>
      </c>
      <c r="K64">
        <v>64967.96</v>
      </c>
      <c r="L64" t="str">
        <f t="shared" si="0"/>
        <v>Rahul</v>
      </c>
      <c r="M64" t="str">
        <f t="shared" si="1"/>
        <v>West</v>
      </c>
      <c r="N64" t="str">
        <f t="shared" si="2"/>
        <v>Bengaluru</v>
      </c>
      <c r="O64" t="str">
        <f t="shared" si="3"/>
        <v>Startup</v>
      </c>
      <c r="P64" s="4" t="str">
        <f t="shared" si="4"/>
        <v>Direct</v>
      </c>
      <c r="Q64">
        <f t="shared" si="5"/>
        <v>0</v>
      </c>
      <c r="R64" s="6">
        <f t="shared" si="6"/>
        <v>91100.67</v>
      </c>
      <c r="S64">
        <f t="shared" si="7"/>
        <v>1</v>
      </c>
      <c r="T64">
        <f t="shared" si="8"/>
        <v>1.4022399656692315</v>
      </c>
      <c r="U64">
        <f t="shared" si="9"/>
        <v>26132.71</v>
      </c>
      <c r="V64" t="str">
        <f t="shared" si="10"/>
        <v>Profitable</v>
      </c>
      <c r="W64" t="str" cm="1">
        <f t="array" ref="W64">_xlfn.IFS(S64&lt;0,"Loss", S64&lt;0.15,"Low Margin",S64&lt;0.3,"Medium High", TRUE, "High Margin")</f>
        <v>High Margin</v>
      </c>
      <c r="X64" t="str">
        <f t="shared" si="11"/>
        <v>02-2024</v>
      </c>
    </row>
    <row r="65" spans="1:24" x14ac:dyDescent="0.3">
      <c r="A65">
        <v>10476</v>
      </c>
      <c r="B65" s="1">
        <v>45335</v>
      </c>
      <c r="C65" t="s">
        <v>29</v>
      </c>
      <c r="F65" t="s">
        <v>39</v>
      </c>
      <c r="G65" t="s">
        <v>40</v>
      </c>
      <c r="I65">
        <v>16428.79</v>
      </c>
      <c r="J65">
        <v>31259.81</v>
      </c>
      <c r="K65">
        <v>47759.37</v>
      </c>
      <c r="L65" t="str">
        <f t="shared" si="0"/>
        <v>Sneha</v>
      </c>
      <c r="M65" t="str">
        <f t="shared" si="1"/>
        <v>Unknown</v>
      </c>
      <c r="N65" t="str">
        <f t="shared" si="2"/>
        <v>Unknown</v>
      </c>
      <c r="O65" t="str">
        <f t="shared" si="3"/>
        <v>Enterprise</v>
      </c>
      <c r="P65" s="4" t="str">
        <f t="shared" si="4"/>
        <v>Unknown</v>
      </c>
      <c r="Q65">
        <f t="shared" si="5"/>
        <v>31259.81</v>
      </c>
      <c r="R65" s="6">
        <f t="shared" si="6"/>
        <v>-14831.02</v>
      </c>
      <c r="S65">
        <f t="shared" si="7"/>
        <v>-0.90274572868726177</v>
      </c>
      <c r="T65">
        <f t="shared" si="8"/>
        <v>0.34399092785352908</v>
      </c>
      <c r="U65">
        <f t="shared" si="9"/>
        <v>-31330.58</v>
      </c>
      <c r="V65" t="str">
        <f t="shared" si="10"/>
        <v>Unprofitable</v>
      </c>
      <c r="W65" t="str" cm="1">
        <f t="array" ref="W65">_xlfn.IFS(S65&lt;0,"Loss", S65&lt;0.15,"Low Margin",S65&lt;0.3,"Medium High", TRUE, "High Margin")</f>
        <v>Loss</v>
      </c>
      <c r="X65" t="str">
        <f t="shared" si="11"/>
        <v>02-2024</v>
      </c>
    </row>
    <row r="66" spans="1:24" x14ac:dyDescent="0.3">
      <c r="A66">
        <v>10401</v>
      </c>
      <c r="B66" s="1">
        <v>45464</v>
      </c>
      <c r="E66" t="s">
        <v>13</v>
      </c>
      <c r="F66" t="s">
        <v>14</v>
      </c>
      <c r="G66" t="s">
        <v>27</v>
      </c>
      <c r="H66" t="s">
        <v>33</v>
      </c>
      <c r="I66">
        <v>39823.96</v>
      </c>
      <c r="J66">
        <v>44449.75</v>
      </c>
      <c r="K66">
        <v>80760.240000000005</v>
      </c>
      <c r="L66" t="str">
        <f t="shared" si="0"/>
        <v>Unassigned</v>
      </c>
      <c r="M66" t="str">
        <f t="shared" si="1"/>
        <v>Unknown</v>
      </c>
      <c r="N66" t="str">
        <f t="shared" si="2"/>
        <v>Bengaluru</v>
      </c>
      <c r="O66" t="str">
        <f t="shared" si="3"/>
        <v>Enterprise</v>
      </c>
      <c r="P66" s="4" t="str">
        <f t="shared" si="4"/>
        <v>Partner</v>
      </c>
      <c r="Q66">
        <f t="shared" si="5"/>
        <v>44449.75</v>
      </c>
      <c r="R66" s="6">
        <f t="shared" si="6"/>
        <v>-4625.7900000000009</v>
      </c>
      <c r="S66">
        <f t="shared" si="7"/>
        <v>-0.11615595234627599</v>
      </c>
      <c r="T66">
        <f t="shared" si="8"/>
        <v>0.49311344295163062</v>
      </c>
      <c r="U66">
        <f t="shared" si="9"/>
        <v>-40936.280000000006</v>
      </c>
      <c r="V66" t="str">
        <f t="shared" si="10"/>
        <v>Unprofitable</v>
      </c>
      <c r="W66" t="str" cm="1">
        <f t="array" ref="W66">_xlfn.IFS(S66&lt;0,"Loss", S66&lt;0.15,"Low Margin",S66&lt;0.3,"Medium High", TRUE, "High Margin")</f>
        <v>Loss</v>
      </c>
      <c r="X66" t="str">
        <f t="shared" si="11"/>
        <v>06-2024</v>
      </c>
    </row>
    <row r="67" spans="1:24" x14ac:dyDescent="0.3">
      <c r="A67">
        <v>10555</v>
      </c>
      <c r="B67" s="1">
        <v>45451</v>
      </c>
      <c r="C67" t="s">
        <v>30</v>
      </c>
      <c r="D67" t="s">
        <v>23</v>
      </c>
      <c r="E67" t="s">
        <v>35</v>
      </c>
      <c r="F67" t="s">
        <v>19</v>
      </c>
      <c r="G67" t="s">
        <v>20</v>
      </c>
      <c r="I67">
        <v>93543.99</v>
      </c>
      <c r="J67">
        <v>15325.42</v>
      </c>
      <c r="K67">
        <v>148231.32</v>
      </c>
      <c r="L67" t="str">
        <f t="shared" ref="L67:L130" si="12">IF(TRIM(C67)="","Unassigned", PROPER(TRIM(C67)))</f>
        <v>Ankit</v>
      </c>
      <c r="M67" t="str">
        <f t="shared" ref="M67:M130" si="13">IF(TRIM(D67)="","Unknown",PROPER(TRIM(D67)))</f>
        <v>West</v>
      </c>
      <c r="N67" t="str">
        <f t="shared" ref="N67:N130" si="14">IF(TRIM(E67)="","Unknown", PROPER(TRIM(E67)))</f>
        <v>Hyderabad</v>
      </c>
      <c r="O67" t="str">
        <f t="shared" ref="O67:O130" si="15">IF(TRIM(F67)="","Unknown",PROPER(TRIM(F67)))</f>
        <v>Startup</v>
      </c>
      <c r="P67" s="4" t="str">
        <f t="shared" ref="P67:P130" si="16">IF(TRIM(H67)="","Unknown",TRIM(H67))</f>
        <v>Unknown</v>
      </c>
      <c r="Q67">
        <f t="shared" ref="Q67:Q130" si="17">IFERROR(J67,0)</f>
        <v>15325.42</v>
      </c>
      <c r="R67" s="6">
        <f t="shared" ref="R67:R130" si="18">I67-Q67</f>
        <v>78218.570000000007</v>
      </c>
      <c r="S67">
        <f t="shared" ref="S67:S130" si="19">IFERROR(R67/I67,0)</f>
        <v>0.83616884419832849</v>
      </c>
      <c r="T67">
        <f t="shared" ref="T67:T130" si="20">IFERROR(I67/K67,0)</f>
        <v>0.63106764481352529</v>
      </c>
      <c r="U67">
        <f t="shared" ref="U67:U130" si="21">I67-K67</f>
        <v>-54687.33</v>
      </c>
      <c r="V67" t="str">
        <f t="shared" ref="V67:V130" si="22">IF(R67&lt;0,"Unprofitable","Profitable")</f>
        <v>Profitable</v>
      </c>
      <c r="W67" t="str" cm="1">
        <f t="array" ref="W67">_xlfn.IFS(S67&lt;0,"Loss", S67&lt;0.15,"Low Margin",S67&lt;0.3,"Medium High", TRUE, "High Margin")</f>
        <v>High Margin</v>
      </c>
      <c r="X67" t="str">
        <f t="shared" ref="X67:X130" si="23">TEXT(B67,"MM-YYYY")</f>
        <v>06-2024</v>
      </c>
    </row>
    <row r="68" spans="1:24" x14ac:dyDescent="0.3">
      <c r="A68">
        <v>10161</v>
      </c>
      <c r="B68" s="1">
        <v>45464</v>
      </c>
      <c r="C68" t="s">
        <v>45</v>
      </c>
      <c r="D68" t="s">
        <v>34</v>
      </c>
      <c r="E68" t="s">
        <v>24</v>
      </c>
      <c r="G68" t="s">
        <v>15</v>
      </c>
      <c r="H68" t="s">
        <v>21</v>
      </c>
      <c r="I68">
        <v>48163.61</v>
      </c>
      <c r="J68">
        <v>29016.27</v>
      </c>
      <c r="K68">
        <v>82734.97</v>
      </c>
      <c r="L68" t="str">
        <f t="shared" si="12"/>
        <v>Rahul</v>
      </c>
      <c r="M68" t="str">
        <f t="shared" si="13"/>
        <v>East</v>
      </c>
      <c r="N68" t="str">
        <f t="shared" si="14"/>
        <v>Chennai</v>
      </c>
      <c r="O68" t="str">
        <f t="shared" si="15"/>
        <v>Unknown</v>
      </c>
      <c r="P68" s="4" t="str">
        <f t="shared" si="16"/>
        <v>Online</v>
      </c>
      <c r="Q68">
        <f t="shared" si="17"/>
        <v>29016.27</v>
      </c>
      <c r="R68" s="6">
        <f t="shared" si="18"/>
        <v>19147.34</v>
      </c>
      <c r="S68">
        <f t="shared" si="19"/>
        <v>0.39754785822740446</v>
      </c>
      <c r="T68">
        <f t="shared" si="20"/>
        <v>0.58214331859913648</v>
      </c>
      <c r="U68">
        <f t="shared" si="21"/>
        <v>-34571.360000000001</v>
      </c>
      <c r="V68" t="str">
        <f t="shared" si="22"/>
        <v>Profitable</v>
      </c>
      <c r="W68" t="str" cm="1">
        <f t="array" ref="W68">_xlfn.IFS(S68&lt;0,"Loss", S68&lt;0.15,"Low Margin",S68&lt;0.3,"Medium High", TRUE, "High Margin")</f>
        <v>High Margin</v>
      </c>
      <c r="X68" t="str">
        <f t="shared" si="23"/>
        <v>06-2024</v>
      </c>
    </row>
    <row r="69" spans="1:24" x14ac:dyDescent="0.3">
      <c r="A69">
        <v>10201</v>
      </c>
      <c r="B69" s="1">
        <v>45440</v>
      </c>
      <c r="C69" t="s">
        <v>45</v>
      </c>
      <c r="D69" t="s">
        <v>31</v>
      </c>
      <c r="E69" t="s">
        <v>13</v>
      </c>
      <c r="F69" t="s">
        <v>14</v>
      </c>
      <c r="G69" t="s">
        <v>15</v>
      </c>
      <c r="H69" t="s">
        <v>21</v>
      </c>
      <c r="I69">
        <v>17595.97</v>
      </c>
      <c r="J69">
        <v>63749.27</v>
      </c>
      <c r="K69">
        <v>140123.14000000001</v>
      </c>
      <c r="L69" t="str">
        <f t="shared" si="12"/>
        <v>Rahul</v>
      </c>
      <c r="M69" t="str">
        <f t="shared" si="13"/>
        <v>South</v>
      </c>
      <c r="N69" t="str">
        <f t="shared" si="14"/>
        <v>Bengaluru</v>
      </c>
      <c r="O69" t="str">
        <f t="shared" si="15"/>
        <v>Enterprise</v>
      </c>
      <c r="P69" s="4" t="str">
        <f t="shared" si="16"/>
        <v>Online</v>
      </c>
      <c r="Q69">
        <f t="shared" si="17"/>
        <v>63749.27</v>
      </c>
      <c r="R69" s="6">
        <f t="shared" si="18"/>
        <v>-46153.299999999996</v>
      </c>
      <c r="S69">
        <f t="shared" si="19"/>
        <v>-2.6229471862022948</v>
      </c>
      <c r="T69">
        <f t="shared" si="20"/>
        <v>0.12557504777583489</v>
      </c>
      <c r="U69">
        <f t="shared" si="21"/>
        <v>-122527.17000000001</v>
      </c>
      <c r="V69" t="str">
        <f t="shared" si="22"/>
        <v>Unprofitable</v>
      </c>
      <c r="W69" t="str" cm="1">
        <f t="array" ref="W69">_xlfn.IFS(S69&lt;0,"Loss", S69&lt;0.15,"Low Margin",S69&lt;0.3,"Medium High", TRUE, "High Margin")</f>
        <v>Loss</v>
      </c>
      <c r="X69" t="str">
        <f t="shared" si="23"/>
        <v>05-2024</v>
      </c>
    </row>
    <row r="70" spans="1:24" x14ac:dyDescent="0.3">
      <c r="A70">
        <v>10269</v>
      </c>
      <c r="B70" s="1">
        <v>45371</v>
      </c>
      <c r="C70" t="s">
        <v>36</v>
      </c>
      <c r="D70" t="s">
        <v>37</v>
      </c>
      <c r="E70" t="s">
        <v>18</v>
      </c>
      <c r="G70" t="s">
        <v>15</v>
      </c>
      <c r="H70" t="s">
        <v>21</v>
      </c>
      <c r="I70">
        <v>169980.74</v>
      </c>
      <c r="K70">
        <v>40077.81</v>
      </c>
      <c r="L70" t="str">
        <f t="shared" si="12"/>
        <v>Amit</v>
      </c>
      <c r="M70" t="str">
        <f t="shared" si="13"/>
        <v>North</v>
      </c>
      <c r="N70" t="str">
        <f t="shared" si="14"/>
        <v>Bengaluru</v>
      </c>
      <c r="O70" t="str">
        <f t="shared" si="15"/>
        <v>Unknown</v>
      </c>
      <c r="P70" s="4" t="str">
        <f t="shared" si="16"/>
        <v>Online</v>
      </c>
      <c r="Q70">
        <f t="shared" si="17"/>
        <v>0</v>
      </c>
      <c r="R70" s="6">
        <f t="shared" si="18"/>
        <v>169980.74</v>
      </c>
      <c r="S70">
        <f t="shared" si="19"/>
        <v>1</v>
      </c>
      <c r="T70">
        <f t="shared" si="20"/>
        <v>4.2412681730863042</v>
      </c>
      <c r="U70">
        <f t="shared" si="21"/>
        <v>129902.93</v>
      </c>
      <c r="V70" t="str">
        <f t="shared" si="22"/>
        <v>Profitable</v>
      </c>
      <c r="W70" t="str" cm="1">
        <f t="array" ref="W70">_xlfn.IFS(S70&lt;0,"Loss", S70&lt;0.15,"Low Margin",S70&lt;0.3,"Medium High", TRUE, "High Margin")</f>
        <v>High Margin</v>
      </c>
      <c r="X70" t="str">
        <f t="shared" si="23"/>
        <v>03-2024</v>
      </c>
    </row>
    <row r="71" spans="1:24" x14ac:dyDescent="0.3">
      <c r="A71">
        <v>10270</v>
      </c>
      <c r="B71" s="1">
        <v>45504</v>
      </c>
      <c r="C71" t="s">
        <v>11</v>
      </c>
      <c r="D71" t="s">
        <v>37</v>
      </c>
      <c r="E71" t="s">
        <v>24</v>
      </c>
      <c r="F71" t="s">
        <v>32</v>
      </c>
      <c r="G71" t="s">
        <v>15</v>
      </c>
      <c r="I71">
        <v>196388.97</v>
      </c>
      <c r="J71">
        <v>31706.22</v>
      </c>
      <c r="K71">
        <v>143643.43</v>
      </c>
      <c r="L71" t="str">
        <f t="shared" si="12"/>
        <v>Rahul</v>
      </c>
      <c r="M71" t="str">
        <f t="shared" si="13"/>
        <v>North</v>
      </c>
      <c r="N71" t="str">
        <f t="shared" si="14"/>
        <v>Chennai</v>
      </c>
      <c r="O71" t="str">
        <f t="shared" si="15"/>
        <v>Smb</v>
      </c>
      <c r="P71" s="4" t="str">
        <f t="shared" si="16"/>
        <v>Unknown</v>
      </c>
      <c r="Q71">
        <f t="shared" si="17"/>
        <v>31706.22</v>
      </c>
      <c r="R71" s="6">
        <f t="shared" si="18"/>
        <v>164682.75</v>
      </c>
      <c r="S71">
        <f t="shared" si="19"/>
        <v>0.83855396766936552</v>
      </c>
      <c r="T71">
        <f t="shared" si="20"/>
        <v>1.3671977200767207</v>
      </c>
      <c r="U71">
        <f t="shared" si="21"/>
        <v>52745.540000000008</v>
      </c>
      <c r="V71" t="str">
        <f t="shared" si="22"/>
        <v>Profitable</v>
      </c>
      <c r="W71" t="str" cm="1">
        <f t="array" ref="W71">_xlfn.IFS(S71&lt;0,"Loss", S71&lt;0.15,"Low Margin",S71&lt;0.3,"Medium High", TRUE, "High Margin")</f>
        <v>High Margin</v>
      </c>
      <c r="X71" t="str">
        <f t="shared" si="23"/>
        <v>07-2024</v>
      </c>
    </row>
    <row r="72" spans="1:24" x14ac:dyDescent="0.3">
      <c r="A72">
        <v>10455</v>
      </c>
      <c r="B72" s="1">
        <v>45494</v>
      </c>
      <c r="C72" t="s">
        <v>41</v>
      </c>
      <c r="D72" t="s">
        <v>17</v>
      </c>
      <c r="E72" t="s">
        <v>38</v>
      </c>
      <c r="F72" t="s">
        <v>14</v>
      </c>
      <c r="G72" t="s">
        <v>40</v>
      </c>
      <c r="H72" t="s">
        <v>16</v>
      </c>
      <c r="I72">
        <v>160283.43</v>
      </c>
      <c r="J72">
        <v>9754.66</v>
      </c>
      <c r="K72">
        <v>57909.33</v>
      </c>
      <c r="L72" t="str">
        <f t="shared" si="12"/>
        <v>Neha</v>
      </c>
      <c r="M72" t="str">
        <f t="shared" si="13"/>
        <v>West</v>
      </c>
      <c r="N72" t="str">
        <f t="shared" si="14"/>
        <v>Delhi</v>
      </c>
      <c r="O72" t="str">
        <f t="shared" si="15"/>
        <v>Enterprise</v>
      </c>
      <c r="P72" s="4" t="str">
        <f t="shared" si="16"/>
        <v>direct</v>
      </c>
      <c r="Q72">
        <f t="shared" si="17"/>
        <v>9754.66</v>
      </c>
      <c r="R72" s="6">
        <f t="shared" si="18"/>
        <v>150528.76999999999</v>
      </c>
      <c r="S72">
        <f t="shared" si="19"/>
        <v>0.93914118259136325</v>
      </c>
      <c r="T72">
        <f t="shared" si="20"/>
        <v>2.7678343023481706</v>
      </c>
      <c r="U72">
        <f t="shared" si="21"/>
        <v>102374.09999999999</v>
      </c>
      <c r="V72" t="str">
        <f t="shared" si="22"/>
        <v>Profitable</v>
      </c>
      <c r="W72" t="str" cm="1">
        <f t="array" ref="W72">_xlfn.IFS(S72&lt;0,"Loss", S72&lt;0.15,"Low Margin",S72&lt;0.3,"Medium High", TRUE, "High Margin")</f>
        <v>High Margin</v>
      </c>
      <c r="X72" t="str">
        <f t="shared" si="23"/>
        <v>07-2024</v>
      </c>
    </row>
    <row r="73" spans="1:24" x14ac:dyDescent="0.3">
      <c r="A73">
        <v>10461</v>
      </c>
      <c r="B73" s="1">
        <v>45543</v>
      </c>
      <c r="C73" t="s">
        <v>45</v>
      </c>
      <c r="D73" t="s">
        <v>23</v>
      </c>
      <c r="E73" t="s">
        <v>38</v>
      </c>
      <c r="F73" t="s">
        <v>32</v>
      </c>
      <c r="G73" t="s">
        <v>42</v>
      </c>
      <c r="H73" t="s">
        <v>33</v>
      </c>
      <c r="I73">
        <v>171926.7</v>
      </c>
      <c r="J73">
        <v>48750.85</v>
      </c>
      <c r="K73">
        <v>128382.9</v>
      </c>
      <c r="L73" t="str">
        <f t="shared" si="12"/>
        <v>Rahul</v>
      </c>
      <c r="M73" t="str">
        <f t="shared" si="13"/>
        <v>West</v>
      </c>
      <c r="N73" t="str">
        <f t="shared" si="14"/>
        <v>Delhi</v>
      </c>
      <c r="O73" t="str">
        <f t="shared" si="15"/>
        <v>Smb</v>
      </c>
      <c r="P73" s="4" t="str">
        <f t="shared" si="16"/>
        <v>Partner</v>
      </c>
      <c r="Q73">
        <f t="shared" si="17"/>
        <v>48750.85</v>
      </c>
      <c r="R73" s="6">
        <f t="shared" si="18"/>
        <v>123175.85</v>
      </c>
      <c r="S73">
        <f t="shared" si="19"/>
        <v>0.71644398455853564</v>
      </c>
      <c r="T73">
        <f t="shared" si="20"/>
        <v>1.3391713382389712</v>
      </c>
      <c r="U73">
        <f t="shared" si="21"/>
        <v>43543.800000000017</v>
      </c>
      <c r="V73" t="str">
        <f t="shared" si="22"/>
        <v>Profitable</v>
      </c>
      <c r="W73" t="str" cm="1">
        <f t="array" ref="W73">_xlfn.IFS(S73&lt;0,"Loss", S73&lt;0.15,"Low Margin",S73&lt;0.3,"Medium High", TRUE, "High Margin")</f>
        <v>High Margin</v>
      </c>
      <c r="X73" t="str">
        <f t="shared" si="23"/>
        <v>09-2024</v>
      </c>
    </row>
    <row r="74" spans="1:24" x14ac:dyDescent="0.3">
      <c r="A74">
        <v>10251</v>
      </c>
      <c r="B74" s="1">
        <v>45520</v>
      </c>
      <c r="C74" t="s">
        <v>11</v>
      </c>
      <c r="D74" t="s">
        <v>37</v>
      </c>
      <c r="E74" t="s">
        <v>13</v>
      </c>
      <c r="F74" t="s">
        <v>14</v>
      </c>
      <c r="G74" t="s">
        <v>20</v>
      </c>
      <c r="H74" t="s">
        <v>21</v>
      </c>
      <c r="I74">
        <v>54459.61</v>
      </c>
      <c r="J74">
        <v>30401.79</v>
      </c>
      <c r="K74">
        <v>110525.05</v>
      </c>
      <c r="L74" t="str">
        <f t="shared" si="12"/>
        <v>Rahul</v>
      </c>
      <c r="M74" t="str">
        <f t="shared" si="13"/>
        <v>North</v>
      </c>
      <c r="N74" t="str">
        <f t="shared" si="14"/>
        <v>Bengaluru</v>
      </c>
      <c r="O74" t="str">
        <f t="shared" si="15"/>
        <v>Enterprise</v>
      </c>
      <c r="P74" s="4" t="str">
        <f t="shared" si="16"/>
        <v>Online</v>
      </c>
      <c r="Q74">
        <f t="shared" si="17"/>
        <v>30401.79</v>
      </c>
      <c r="R74" s="6">
        <f t="shared" si="18"/>
        <v>24057.82</v>
      </c>
      <c r="S74">
        <f t="shared" si="19"/>
        <v>0.4417552751479491</v>
      </c>
      <c r="T74">
        <f t="shared" si="20"/>
        <v>0.49273544775596118</v>
      </c>
      <c r="U74">
        <f t="shared" si="21"/>
        <v>-56065.440000000002</v>
      </c>
      <c r="V74" t="str">
        <f t="shared" si="22"/>
        <v>Profitable</v>
      </c>
      <c r="W74" t="str" cm="1">
        <f t="array" ref="W74">_xlfn.IFS(S74&lt;0,"Loss", S74&lt;0.15,"Low Margin",S74&lt;0.3,"Medium High", TRUE, "High Margin")</f>
        <v>High Margin</v>
      </c>
      <c r="X74" t="str">
        <f t="shared" si="23"/>
        <v>08-2024</v>
      </c>
    </row>
    <row r="75" spans="1:24" x14ac:dyDescent="0.3">
      <c r="A75">
        <v>10295</v>
      </c>
      <c r="B75" s="1">
        <v>45455</v>
      </c>
      <c r="C75" t="s">
        <v>11</v>
      </c>
      <c r="D75" t="s">
        <v>34</v>
      </c>
      <c r="E75" t="s">
        <v>24</v>
      </c>
      <c r="F75" t="s">
        <v>14</v>
      </c>
      <c r="G75" t="s">
        <v>40</v>
      </c>
      <c r="H75" t="s">
        <v>21</v>
      </c>
      <c r="I75">
        <v>192440.38</v>
      </c>
      <c r="J75">
        <v>28687.81</v>
      </c>
      <c r="K75">
        <v>168663.15</v>
      </c>
      <c r="L75" t="str">
        <f t="shared" si="12"/>
        <v>Rahul</v>
      </c>
      <c r="M75" t="str">
        <f t="shared" si="13"/>
        <v>East</v>
      </c>
      <c r="N75" t="str">
        <f t="shared" si="14"/>
        <v>Chennai</v>
      </c>
      <c r="O75" t="str">
        <f t="shared" si="15"/>
        <v>Enterprise</v>
      </c>
      <c r="P75" s="4" t="str">
        <f t="shared" si="16"/>
        <v>Online</v>
      </c>
      <c r="Q75">
        <f t="shared" si="17"/>
        <v>28687.81</v>
      </c>
      <c r="R75" s="6">
        <f t="shared" si="18"/>
        <v>163752.57</v>
      </c>
      <c r="S75">
        <f t="shared" si="19"/>
        <v>0.85092624531296401</v>
      </c>
      <c r="T75">
        <f t="shared" si="20"/>
        <v>1.1409746586613614</v>
      </c>
      <c r="U75">
        <f t="shared" si="21"/>
        <v>23777.23000000001</v>
      </c>
      <c r="V75" t="str">
        <f t="shared" si="22"/>
        <v>Profitable</v>
      </c>
      <c r="W75" t="str" cm="1">
        <f t="array" ref="W75">_xlfn.IFS(S75&lt;0,"Loss", S75&lt;0.15,"Low Margin",S75&lt;0.3,"Medium High", TRUE, "High Margin")</f>
        <v>High Margin</v>
      </c>
      <c r="X75" t="str">
        <f t="shared" si="23"/>
        <v>06-2024</v>
      </c>
    </row>
    <row r="76" spans="1:24" x14ac:dyDescent="0.3">
      <c r="A76">
        <v>10337</v>
      </c>
      <c r="B76" s="1">
        <v>45518</v>
      </c>
      <c r="C76" t="s">
        <v>25</v>
      </c>
      <c r="D76" t="s">
        <v>23</v>
      </c>
      <c r="E76" t="s">
        <v>35</v>
      </c>
      <c r="F76" t="s">
        <v>32</v>
      </c>
      <c r="G76" t="s">
        <v>15</v>
      </c>
      <c r="H76" t="s">
        <v>21</v>
      </c>
      <c r="I76">
        <v>45809.74</v>
      </c>
      <c r="J76">
        <v>115303.95</v>
      </c>
      <c r="K76">
        <v>81971.600000000006</v>
      </c>
      <c r="L76" t="str">
        <f t="shared" si="12"/>
        <v>Priya</v>
      </c>
      <c r="M76" t="str">
        <f t="shared" si="13"/>
        <v>West</v>
      </c>
      <c r="N76" t="str">
        <f t="shared" si="14"/>
        <v>Hyderabad</v>
      </c>
      <c r="O76" t="str">
        <f t="shared" si="15"/>
        <v>Smb</v>
      </c>
      <c r="P76" s="4" t="str">
        <f t="shared" si="16"/>
        <v>Online</v>
      </c>
      <c r="Q76">
        <f t="shared" si="17"/>
        <v>115303.95</v>
      </c>
      <c r="R76" s="6">
        <f t="shared" si="18"/>
        <v>-69494.209999999992</v>
      </c>
      <c r="S76">
        <f t="shared" si="19"/>
        <v>-1.5170182149036426</v>
      </c>
      <c r="T76">
        <f t="shared" si="20"/>
        <v>0.55884891840588691</v>
      </c>
      <c r="U76">
        <f t="shared" si="21"/>
        <v>-36161.860000000008</v>
      </c>
      <c r="V76" t="str">
        <f t="shared" si="22"/>
        <v>Unprofitable</v>
      </c>
      <c r="W76" t="str" cm="1">
        <f t="array" ref="W76">_xlfn.IFS(S76&lt;0,"Loss", S76&lt;0.15,"Low Margin",S76&lt;0.3,"Medium High", TRUE, "High Margin")</f>
        <v>Loss</v>
      </c>
      <c r="X76" t="str">
        <f t="shared" si="23"/>
        <v>08-2024</v>
      </c>
    </row>
    <row r="77" spans="1:24" x14ac:dyDescent="0.3">
      <c r="A77">
        <v>10052</v>
      </c>
      <c r="B77" s="1">
        <v>45438</v>
      </c>
      <c r="C77" t="s">
        <v>25</v>
      </c>
      <c r="D77" t="s">
        <v>34</v>
      </c>
      <c r="E77" t="s">
        <v>35</v>
      </c>
      <c r="F77" t="s">
        <v>19</v>
      </c>
      <c r="G77" t="s">
        <v>42</v>
      </c>
      <c r="H77" t="s">
        <v>33</v>
      </c>
      <c r="I77">
        <v>190674.52</v>
      </c>
      <c r="J77">
        <v>75107.16</v>
      </c>
      <c r="K77">
        <v>30586.43</v>
      </c>
      <c r="L77" t="str">
        <f t="shared" si="12"/>
        <v>Priya</v>
      </c>
      <c r="M77" t="str">
        <f t="shared" si="13"/>
        <v>East</v>
      </c>
      <c r="N77" t="str">
        <f t="shared" si="14"/>
        <v>Hyderabad</v>
      </c>
      <c r="O77" t="str">
        <f t="shared" si="15"/>
        <v>Startup</v>
      </c>
      <c r="P77" s="4" t="str">
        <f t="shared" si="16"/>
        <v>Partner</v>
      </c>
      <c r="Q77">
        <f t="shared" si="17"/>
        <v>75107.16</v>
      </c>
      <c r="R77" s="6">
        <f t="shared" si="18"/>
        <v>115567.35999999999</v>
      </c>
      <c r="S77">
        <f t="shared" si="19"/>
        <v>0.60609755304484303</v>
      </c>
      <c r="T77">
        <f t="shared" si="20"/>
        <v>6.2339580003289035</v>
      </c>
      <c r="U77">
        <f t="shared" si="21"/>
        <v>160088.09</v>
      </c>
      <c r="V77" t="str">
        <f t="shared" si="22"/>
        <v>Profitable</v>
      </c>
      <c r="W77" t="str" cm="1">
        <f t="array" ref="W77">_xlfn.IFS(S77&lt;0,"Loss", S77&lt;0.15,"Low Margin",S77&lt;0.3,"Medium High", TRUE, "High Margin")</f>
        <v>High Margin</v>
      </c>
      <c r="X77" t="str">
        <f t="shared" si="23"/>
        <v>05-2024</v>
      </c>
    </row>
    <row r="78" spans="1:24" x14ac:dyDescent="0.3">
      <c r="A78">
        <v>10216</v>
      </c>
      <c r="B78" s="1">
        <v>45311</v>
      </c>
      <c r="C78" t="s">
        <v>30</v>
      </c>
      <c r="D78" t="s">
        <v>37</v>
      </c>
      <c r="E78" t="s">
        <v>44</v>
      </c>
      <c r="F78" t="s">
        <v>39</v>
      </c>
      <c r="G78" t="s">
        <v>27</v>
      </c>
      <c r="H78" t="s">
        <v>21</v>
      </c>
      <c r="I78">
        <v>199005.3</v>
      </c>
      <c r="J78">
        <v>68154.78</v>
      </c>
      <c r="K78">
        <v>23064.880000000001</v>
      </c>
      <c r="L78" t="str">
        <f t="shared" si="12"/>
        <v>Ankit</v>
      </c>
      <c r="M78" t="str">
        <f t="shared" si="13"/>
        <v>North</v>
      </c>
      <c r="N78" t="str">
        <f t="shared" si="14"/>
        <v>Pune</v>
      </c>
      <c r="O78" t="str">
        <f t="shared" si="15"/>
        <v>Enterprise</v>
      </c>
      <c r="P78" s="4" t="str">
        <f t="shared" si="16"/>
        <v>Online</v>
      </c>
      <c r="Q78">
        <f t="shared" si="17"/>
        <v>68154.78</v>
      </c>
      <c r="R78" s="6">
        <f t="shared" si="18"/>
        <v>130850.51999999999</v>
      </c>
      <c r="S78">
        <f t="shared" si="19"/>
        <v>0.65752278959404598</v>
      </c>
      <c r="T78">
        <f t="shared" si="20"/>
        <v>8.6280656998865801</v>
      </c>
      <c r="U78">
        <f t="shared" si="21"/>
        <v>175940.41999999998</v>
      </c>
      <c r="V78" t="str">
        <f t="shared" si="22"/>
        <v>Profitable</v>
      </c>
      <c r="W78" t="str" cm="1">
        <f t="array" ref="W78">_xlfn.IFS(S78&lt;0,"Loss", S78&lt;0.15,"Low Margin",S78&lt;0.3,"Medium High", TRUE, "High Margin")</f>
        <v>High Margin</v>
      </c>
      <c r="X78" t="str">
        <f t="shared" si="23"/>
        <v>01-2024</v>
      </c>
    </row>
    <row r="79" spans="1:24" x14ac:dyDescent="0.3">
      <c r="A79">
        <v>10187</v>
      </c>
      <c r="B79" s="1">
        <v>45338</v>
      </c>
      <c r="C79" t="s">
        <v>29</v>
      </c>
      <c r="D79" t="s">
        <v>37</v>
      </c>
      <c r="E79" t="s">
        <v>38</v>
      </c>
      <c r="G79" t="s">
        <v>27</v>
      </c>
      <c r="H79" t="s">
        <v>33</v>
      </c>
      <c r="I79">
        <v>144650.78</v>
      </c>
      <c r="J79">
        <v>51645.69</v>
      </c>
      <c r="K79">
        <v>152297.37</v>
      </c>
      <c r="L79" t="str">
        <f t="shared" si="12"/>
        <v>Sneha</v>
      </c>
      <c r="M79" t="str">
        <f t="shared" si="13"/>
        <v>North</v>
      </c>
      <c r="N79" t="str">
        <f t="shared" si="14"/>
        <v>Delhi</v>
      </c>
      <c r="O79" t="str">
        <f t="shared" si="15"/>
        <v>Unknown</v>
      </c>
      <c r="P79" s="4" t="str">
        <f t="shared" si="16"/>
        <v>Partner</v>
      </c>
      <c r="Q79">
        <f t="shared" si="17"/>
        <v>51645.69</v>
      </c>
      <c r="R79" s="6">
        <f t="shared" si="18"/>
        <v>93005.09</v>
      </c>
      <c r="S79">
        <f t="shared" si="19"/>
        <v>0.64296293459323206</v>
      </c>
      <c r="T79">
        <f t="shared" si="20"/>
        <v>0.94979171340910218</v>
      </c>
      <c r="U79">
        <f t="shared" si="21"/>
        <v>-7646.5899999999965</v>
      </c>
      <c r="V79" t="str">
        <f t="shared" si="22"/>
        <v>Profitable</v>
      </c>
      <c r="W79" t="str" cm="1">
        <f t="array" ref="W79">_xlfn.IFS(S79&lt;0,"Loss", S79&lt;0.15,"Low Margin",S79&lt;0.3,"Medium High", TRUE, "High Margin")</f>
        <v>High Margin</v>
      </c>
      <c r="X79" t="str">
        <f t="shared" si="23"/>
        <v>02-2024</v>
      </c>
    </row>
    <row r="80" spans="1:24" x14ac:dyDescent="0.3">
      <c r="A80">
        <v>10379</v>
      </c>
      <c r="B80" s="1">
        <v>45524</v>
      </c>
      <c r="C80" t="s">
        <v>30</v>
      </c>
      <c r="D80" t="s">
        <v>17</v>
      </c>
      <c r="E80" t="s">
        <v>26</v>
      </c>
      <c r="F80" t="s">
        <v>14</v>
      </c>
      <c r="G80" t="s">
        <v>27</v>
      </c>
      <c r="H80" t="s">
        <v>21</v>
      </c>
      <c r="I80">
        <v>196379.6</v>
      </c>
      <c r="J80">
        <v>53186.49</v>
      </c>
      <c r="K80">
        <v>103957.7</v>
      </c>
      <c r="L80" t="str">
        <f t="shared" si="12"/>
        <v>Ankit</v>
      </c>
      <c r="M80" t="str">
        <f t="shared" si="13"/>
        <v>West</v>
      </c>
      <c r="N80" t="str">
        <f t="shared" si="14"/>
        <v>Mumbai</v>
      </c>
      <c r="O80" t="str">
        <f t="shared" si="15"/>
        <v>Enterprise</v>
      </c>
      <c r="P80" s="4" t="str">
        <f t="shared" si="16"/>
        <v>Online</v>
      </c>
      <c r="Q80">
        <f t="shared" si="17"/>
        <v>53186.49</v>
      </c>
      <c r="R80" s="6">
        <f t="shared" si="18"/>
        <v>143193.11000000002</v>
      </c>
      <c r="S80">
        <f t="shared" si="19"/>
        <v>0.72916489289111497</v>
      </c>
      <c r="T80">
        <f t="shared" si="20"/>
        <v>1.8890337127504746</v>
      </c>
      <c r="U80">
        <f t="shared" si="21"/>
        <v>92421.900000000009</v>
      </c>
      <c r="V80" t="str">
        <f t="shared" si="22"/>
        <v>Profitable</v>
      </c>
      <c r="W80" t="str" cm="1">
        <f t="array" ref="W80">_xlfn.IFS(S80&lt;0,"Loss", S80&lt;0.15,"Low Margin",S80&lt;0.3,"Medium High", TRUE, "High Margin")</f>
        <v>High Margin</v>
      </c>
      <c r="X80" t="str">
        <f t="shared" si="23"/>
        <v>08-2024</v>
      </c>
    </row>
    <row r="81" spans="1:24" x14ac:dyDescent="0.3">
      <c r="A81">
        <v>10492</v>
      </c>
      <c r="B81" s="1">
        <v>45305</v>
      </c>
      <c r="C81" t="s">
        <v>22</v>
      </c>
      <c r="D81" t="s">
        <v>37</v>
      </c>
      <c r="E81" t="s">
        <v>44</v>
      </c>
      <c r="G81" t="s">
        <v>15</v>
      </c>
      <c r="I81">
        <v>117351.64</v>
      </c>
      <c r="J81">
        <v>66285.89</v>
      </c>
      <c r="K81">
        <v>144039.04999999999</v>
      </c>
      <c r="L81" t="str">
        <f t="shared" si="12"/>
        <v>Amit</v>
      </c>
      <c r="M81" t="str">
        <f t="shared" si="13"/>
        <v>North</v>
      </c>
      <c r="N81" t="str">
        <f t="shared" si="14"/>
        <v>Pune</v>
      </c>
      <c r="O81" t="str">
        <f t="shared" si="15"/>
        <v>Unknown</v>
      </c>
      <c r="P81" s="4" t="str">
        <f t="shared" si="16"/>
        <v>Unknown</v>
      </c>
      <c r="Q81">
        <f t="shared" si="17"/>
        <v>66285.89</v>
      </c>
      <c r="R81" s="6">
        <f t="shared" si="18"/>
        <v>51065.75</v>
      </c>
      <c r="S81">
        <f t="shared" si="19"/>
        <v>0.43515156669306027</v>
      </c>
      <c r="T81">
        <f t="shared" si="20"/>
        <v>0.81472100794888613</v>
      </c>
      <c r="U81">
        <f t="shared" si="21"/>
        <v>-26687.409999999989</v>
      </c>
      <c r="V81" t="str">
        <f t="shared" si="22"/>
        <v>Profitable</v>
      </c>
      <c r="W81" t="str" cm="1">
        <f t="array" ref="W81">_xlfn.IFS(S81&lt;0,"Loss", S81&lt;0.15,"Low Margin",S81&lt;0.3,"Medium High", TRUE, "High Margin")</f>
        <v>High Margin</v>
      </c>
      <c r="X81" t="str">
        <f t="shared" si="23"/>
        <v>01-2024</v>
      </c>
    </row>
    <row r="82" spans="1:24" x14ac:dyDescent="0.3">
      <c r="A82">
        <v>10040</v>
      </c>
      <c r="B82" s="1">
        <v>45434</v>
      </c>
      <c r="C82" t="s">
        <v>41</v>
      </c>
      <c r="D82" t="s">
        <v>23</v>
      </c>
      <c r="E82" t="s">
        <v>35</v>
      </c>
      <c r="F82" t="s">
        <v>32</v>
      </c>
      <c r="G82" t="s">
        <v>27</v>
      </c>
      <c r="I82">
        <v>57832.02</v>
      </c>
      <c r="J82">
        <v>84482.29</v>
      </c>
      <c r="K82">
        <v>57508.1</v>
      </c>
      <c r="L82" t="str">
        <f t="shared" si="12"/>
        <v>Neha</v>
      </c>
      <c r="M82" t="str">
        <f t="shared" si="13"/>
        <v>West</v>
      </c>
      <c r="N82" t="str">
        <f t="shared" si="14"/>
        <v>Hyderabad</v>
      </c>
      <c r="O82" t="str">
        <f t="shared" si="15"/>
        <v>Smb</v>
      </c>
      <c r="P82" s="4" t="str">
        <f t="shared" si="16"/>
        <v>Unknown</v>
      </c>
      <c r="Q82">
        <f t="shared" si="17"/>
        <v>84482.29</v>
      </c>
      <c r="R82" s="6">
        <f t="shared" si="18"/>
        <v>-26650.269999999997</v>
      </c>
      <c r="S82">
        <f t="shared" si="19"/>
        <v>-0.46082204979179353</v>
      </c>
      <c r="T82">
        <f t="shared" si="20"/>
        <v>1.0056325978427387</v>
      </c>
      <c r="U82">
        <f t="shared" si="21"/>
        <v>323.91999999999825</v>
      </c>
      <c r="V82" t="str">
        <f t="shared" si="22"/>
        <v>Unprofitable</v>
      </c>
      <c r="W82" t="str" cm="1">
        <f t="array" ref="W82">_xlfn.IFS(S82&lt;0,"Loss", S82&lt;0.15,"Low Margin",S82&lt;0.3,"Medium High", TRUE, "High Margin")</f>
        <v>Loss</v>
      </c>
      <c r="X82" t="str">
        <f t="shared" si="23"/>
        <v>05-2024</v>
      </c>
    </row>
    <row r="83" spans="1:24" x14ac:dyDescent="0.3">
      <c r="A83">
        <v>10156</v>
      </c>
      <c r="B83" s="1">
        <v>45292</v>
      </c>
      <c r="C83" t="s">
        <v>22</v>
      </c>
      <c r="E83" t="s">
        <v>24</v>
      </c>
      <c r="G83" t="s">
        <v>43</v>
      </c>
      <c r="H83" t="s">
        <v>33</v>
      </c>
      <c r="I83">
        <v>91903.21</v>
      </c>
      <c r="K83">
        <v>75213.399999999994</v>
      </c>
      <c r="L83" t="str">
        <f t="shared" si="12"/>
        <v>Amit</v>
      </c>
      <c r="M83" t="str">
        <f t="shared" si="13"/>
        <v>Unknown</v>
      </c>
      <c r="N83" t="str">
        <f t="shared" si="14"/>
        <v>Chennai</v>
      </c>
      <c r="O83" t="str">
        <f t="shared" si="15"/>
        <v>Unknown</v>
      </c>
      <c r="P83" s="4" t="str">
        <f t="shared" si="16"/>
        <v>Partner</v>
      </c>
      <c r="Q83">
        <f t="shared" si="17"/>
        <v>0</v>
      </c>
      <c r="R83" s="6">
        <f t="shared" si="18"/>
        <v>91903.21</v>
      </c>
      <c r="S83">
        <f t="shared" si="19"/>
        <v>1</v>
      </c>
      <c r="T83">
        <f t="shared" si="20"/>
        <v>1.2218994221774313</v>
      </c>
      <c r="U83">
        <f t="shared" si="21"/>
        <v>16689.810000000012</v>
      </c>
      <c r="V83" t="str">
        <f t="shared" si="22"/>
        <v>Profitable</v>
      </c>
      <c r="W83" t="str" cm="1">
        <f t="array" ref="W83">_xlfn.IFS(S83&lt;0,"Loss", S83&lt;0.15,"Low Margin",S83&lt;0.3,"Medium High", TRUE, "High Margin")</f>
        <v>High Margin</v>
      </c>
      <c r="X83" t="str">
        <f t="shared" si="23"/>
        <v>01-2024</v>
      </c>
    </row>
    <row r="84" spans="1:24" x14ac:dyDescent="0.3">
      <c r="A84">
        <v>10014</v>
      </c>
      <c r="B84" s="1">
        <v>45345</v>
      </c>
      <c r="C84" t="s">
        <v>22</v>
      </c>
      <c r="D84" t="s">
        <v>23</v>
      </c>
      <c r="F84" t="s">
        <v>32</v>
      </c>
      <c r="G84" t="s">
        <v>20</v>
      </c>
      <c r="I84">
        <v>121963.7</v>
      </c>
      <c r="J84">
        <v>23088.19</v>
      </c>
      <c r="K84">
        <v>24816.62</v>
      </c>
      <c r="L84" t="str">
        <f t="shared" si="12"/>
        <v>Amit</v>
      </c>
      <c r="M84" t="str">
        <f t="shared" si="13"/>
        <v>West</v>
      </c>
      <c r="N84" t="str">
        <f t="shared" si="14"/>
        <v>Unknown</v>
      </c>
      <c r="O84" t="str">
        <f t="shared" si="15"/>
        <v>Smb</v>
      </c>
      <c r="P84" s="4" t="str">
        <f t="shared" si="16"/>
        <v>Unknown</v>
      </c>
      <c r="Q84">
        <f t="shared" si="17"/>
        <v>23088.19</v>
      </c>
      <c r="R84" s="6">
        <f t="shared" si="18"/>
        <v>98875.51</v>
      </c>
      <c r="S84">
        <f t="shared" si="19"/>
        <v>0.81069621534932113</v>
      </c>
      <c r="T84">
        <f t="shared" si="20"/>
        <v>4.9145975559927182</v>
      </c>
      <c r="U84">
        <f t="shared" si="21"/>
        <v>97147.08</v>
      </c>
      <c r="V84" t="str">
        <f t="shared" si="22"/>
        <v>Profitable</v>
      </c>
      <c r="W84" t="str" cm="1">
        <f t="array" ref="W84">_xlfn.IFS(S84&lt;0,"Loss", S84&lt;0.15,"Low Margin",S84&lt;0.3,"Medium High", TRUE, "High Margin")</f>
        <v>High Margin</v>
      </c>
      <c r="X84" t="str">
        <f t="shared" si="23"/>
        <v>02-2024</v>
      </c>
    </row>
    <row r="85" spans="1:24" x14ac:dyDescent="0.3">
      <c r="A85">
        <v>10064</v>
      </c>
      <c r="B85" s="1">
        <v>45550</v>
      </c>
      <c r="C85" t="s">
        <v>36</v>
      </c>
      <c r="D85" t="s">
        <v>23</v>
      </c>
      <c r="E85" t="s">
        <v>35</v>
      </c>
      <c r="G85" t="s">
        <v>20</v>
      </c>
      <c r="H85" t="s">
        <v>33</v>
      </c>
      <c r="I85">
        <v>22031.66</v>
      </c>
      <c r="J85">
        <v>61513.19</v>
      </c>
      <c r="K85">
        <v>173838.77</v>
      </c>
      <c r="L85" t="str">
        <f t="shared" si="12"/>
        <v>Amit</v>
      </c>
      <c r="M85" t="str">
        <f t="shared" si="13"/>
        <v>West</v>
      </c>
      <c r="N85" t="str">
        <f t="shared" si="14"/>
        <v>Hyderabad</v>
      </c>
      <c r="O85" t="str">
        <f t="shared" si="15"/>
        <v>Unknown</v>
      </c>
      <c r="P85" s="4" t="str">
        <f t="shared" si="16"/>
        <v>Partner</v>
      </c>
      <c r="Q85">
        <f t="shared" si="17"/>
        <v>61513.19</v>
      </c>
      <c r="R85" s="6">
        <f t="shared" si="18"/>
        <v>-39481.53</v>
      </c>
      <c r="S85">
        <f t="shared" si="19"/>
        <v>-1.7920360971438376</v>
      </c>
      <c r="T85">
        <f t="shared" si="20"/>
        <v>0.12673617053319003</v>
      </c>
      <c r="U85">
        <f t="shared" si="21"/>
        <v>-151807.10999999999</v>
      </c>
      <c r="V85" t="str">
        <f t="shared" si="22"/>
        <v>Unprofitable</v>
      </c>
      <c r="W85" t="str" cm="1">
        <f t="array" ref="W85">_xlfn.IFS(S85&lt;0,"Loss", S85&lt;0.15,"Low Margin",S85&lt;0.3,"Medium High", TRUE, "High Margin")</f>
        <v>Loss</v>
      </c>
      <c r="X85" t="str">
        <f t="shared" si="23"/>
        <v>09-2024</v>
      </c>
    </row>
    <row r="86" spans="1:24" x14ac:dyDescent="0.3">
      <c r="A86">
        <v>10520</v>
      </c>
      <c r="B86" s="1">
        <v>45435</v>
      </c>
      <c r="C86" t="s">
        <v>22</v>
      </c>
      <c r="D86" t="s">
        <v>17</v>
      </c>
      <c r="E86" t="s">
        <v>24</v>
      </c>
      <c r="F86" t="s">
        <v>39</v>
      </c>
      <c r="G86" t="s">
        <v>15</v>
      </c>
      <c r="I86">
        <v>127489.91</v>
      </c>
      <c r="J86">
        <v>51199.1</v>
      </c>
      <c r="K86">
        <v>126858.87</v>
      </c>
      <c r="L86" t="str">
        <f t="shared" si="12"/>
        <v>Amit</v>
      </c>
      <c r="M86" t="str">
        <f t="shared" si="13"/>
        <v>West</v>
      </c>
      <c r="N86" t="str">
        <f t="shared" si="14"/>
        <v>Chennai</v>
      </c>
      <c r="O86" t="str">
        <f t="shared" si="15"/>
        <v>Enterprise</v>
      </c>
      <c r="P86" s="4" t="str">
        <f t="shared" si="16"/>
        <v>Unknown</v>
      </c>
      <c r="Q86">
        <f t="shared" si="17"/>
        <v>51199.1</v>
      </c>
      <c r="R86" s="6">
        <f t="shared" si="18"/>
        <v>76290.81</v>
      </c>
      <c r="S86">
        <f t="shared" si="19"/>
        <v>0.59840665037727292</v>
      </c>
      <c r="T86">
        <f t="shared" si="20"/>
        <v>1.0049743466893566</v>
      </c>
      <c r="U86">
        <f t="shared" si="21"/>
        <v>631.04000000000815</v>
      </c>
      <c r="V86" t="str">
        <f t="shared" si="22"/>
        <v>Profitable</v>
      </c>
      <c r="W86" t="str" cm="1">
        <f t="array" ref="W86">_xlfn.IFS(S86&lt;0,"Loss", S86&lt;0.15,"Low Margin",S86&lt;0.3,"Medium High", TRUE, "High Margin")</f>
        <v>High Margin</v>
      </c>
      <c r="X86" t="str">
        <f t="shared" si="23"/>
        <v>05-2024</v>
      </c>
    </row>
    <row r="87" spans="1:24" x14ac:dyDescent="0.3">
      <c r="A87">
        <v>10343</v>
      </c>
      <c r="B87" s="1">
        <v>45303</v>
      </c>
      <c r="C87" t="s">
        <v>30</v>
      </c>
      <c r="D87" t="s">
        <v>17</v>
      </c>
      <c r="E87" t="s">
        <v>44</v>
      </c>
      <c r="F87" t="s">
        <v>39</v>
      </c>
      <c r="G87" t="s">
        <v>43</v>
      </c>
      <c r="I87">
        <v>196386.14</v>
      </c>
      <c r="J87">
        <v>104851.66</v>
      </c>
      <c r="K87">
        <v>169312.81</v>
      </c>
      <c r="L87" t="str">
        <f t="shared" si="12"/>
        <v>Ankit</v>
      </c>
      <c r="M87" t="str">
        <f t="shared" si="13"/>
        <v>West</v>
      </c>
      <c r="N87" t="str">
        <f t="shared" si="14"/>
        <v>Pune</v>
      </c>
      <c r="O87" t="str">
        <f t="shared" si="15"/>
        <v>Enterprise</v>
      </c>
      <c r="P87" s="4" t="str">
        <f t="shared" si="16"/>
        <v>Unknown</v>
      </c>
      <c r="Q87">
        <f t="shared" si="17"/>
        <v>104851.66</v>
      </c>
      <c r="R87" s="6">
        <f t="shared" si="18"/>
        <v>91534.48000000001</v>
      </c>
      <c r="S87">
        <f t="shared" si="19"/>
        <v>0.46609439953349052</v>
      </c>
      <c r="T87">
        <f t="shared" si="20"/>
        <v>1.1599012502361754</v>
      </c>
      <c r="U87">
        <f t="shared" si="21"/>
        <v>27073.330000000016</v>
      </c>
      <c r="V87" t="str">
        <f t="shared" si="22"/>
        <v>Profitable</v>
      </c>
      <c r="W87" t="str" cm="1">
        <f t="array" ref="W87">_xlfn.IFS(S87&lt;0,"Loss", S87&lt;0.15,"Low Margin",S87&lt;0.3,"Medium High", TRUE, "High Margin")</f>
        <v>High Margin</v>
      </c>
      <c r="X87" t="str">
        <f t="shared" si="23"/>
        <v>01-2024</v>
      </c>
    </row>
    <row r="88" spans="1:24" x14ac:dyDescent="0.3">
      <c r="A88">
        <v>10128</v>
      </c>
      <c r="B88" s="1">
        <v>45515</v>
      </c>
      <c r="C88" t="s">
        <v>45</v>
      </c>
      <c r="D88" t="s">
        <v>37</v>
      </c>
      <c r="E88" t="s">
        <v>38</v>
      </c>
      <c r="F88" t="s">
        <v>39</v>
      </c>
      <c r="G88" t="s">
        <v>40</v>
      </c>
      <c r="H88" t="s">
        <v>33</v>
      </c>
      <c r="I88">
        <v>44500.67</v>
      </c>
      <c r="J88">
        <v>76876.009999999995</v>
      </c>
      <c r="K88">
        <v>62479.43</v>
      </c>
      <c r="L88" t="str">
        <f t="shared" si="12"/>
        <v>Rahul</v>
      </c>
      <c r="M88" t="str">
        <f t="shared" si="13"/>
        <v>North</v>
      </c>
      <c r="N88" t="str">
        <f t="shared" si="14"/>
        <v>Delhi</v>
      </c>
      <c r="O88" t="str">
        <f t="shared" si="15"/>
        <v>Enterprise</v>
      </c>
      <c r="P88" s="4" t="str">
        <f t="shared" si="16"/>
        <v>Partner</v>
      </c>
      <c r="Q88">
        <f t="shared" si="17"/>
        <v>76876.009999999995</v>
      </c>
      <c r="R88" s="6">
        <f t="shared" si="18"/>
        <v>-32375.339999999997</v>
      </c>
      <c r="S88">
        <f t="shared" si="19"/>
        <v>-0.72752477659325121</v>
      </c>
      <c r="T88">
        <f t="shared" si="20"/>
        <v>0.71224513411854107</v>
      </c>
      <c r="U88">
        <f t="shared" si="21"/>
        <v>-17978.760000000002</v>
      </c>
      <c r="V88" t="str">
        <f t="shared" si="22"/>
        <v>Unprofitable</v>
      </c>
      <c r="W88" t="str" cm="1">
        <f t="array" ref="W88">_xlfn.IFS(S88&lt;0,"Loss", S88&lt;0.15,"Low Margin",S88&lt;0.3,"Medium High", TRUE, "High Margin")</f>
        <v>Loss</v>
      </c>
      <c r="X88" t="str">
        <f t="shared" si="23"/>
        <v>08-2024</v>
      </c>
    </row>
    <row r="89" spans="1:24" x14ac:dyDescent="0.3">
      <c r="A89">
        <v>10471</v>
      </c>
      <c r="B89" s="1">
        <v>45447</v>
      </c>
      <c r="C89" t="s">
        <v>45</v>
      </c>
      <c r="D89" t="s">
        <v>12</v>
      </c>
      <c r="E89" t="s">
        <v>35</v>
      </c>
      <c r="F89" t="s">
        <v>39</v>
      </c>
      <c r="G89" t="s">
        <v>40</v>
      </c>
      <c r="H89" t="s">
        <v>16</v>
      </c>
      <c r="I89">
        <v>160178.26</v>
      </c>
      <c r="J89">
        <v>65302.98</v>
      </c>
      <c r="K89">
        <v>117834.18</v>
      </c>
      <c r="L89" t="str">
        <f t="shared" si="12"/>
        <v>Rahul</v>
      </c>
      <c r="M89" t="str">
        <f t="shared" si="13"/>
        <v>South</v>
      </c>
      <c r="N89" t="str">
        <f t="shared" si="14"/>
        <v>Hyderabad</v>
      </c>
      <c r="O89" t="str">
        <f t="shared" si="15"/>
        <v>Enterprise</v>
      </c>
      <c r="P89" s="4" t="str">
        <f t="shared" si="16"/>
        <v>direct</v>
      </c>
      <c r="Q89">
        <f t="shared" si="17"/>
        <v>65302.98</v>
      </c>
      <c r="R89" s="6">
        <f t="shared" si="18"/>
        <v>94875.28</v>
      </c>
      <c r="S89">
        <f t="shared" si="19"/>
        <v>0.59231059196173064</v>
      </c>
      <c r="T89">
        <f t="shared" si="20"/>
        <v>1.3593531180850922</v>
      </c>
      <c r="U89">
        <f t="shared" si="21"/>
        <v>42344.080000000016</v>
      </c>
      <c r="V89" t="str">
        <f t="shared" si="22"/>
        <v>Profitable</v>
      </c>
      <c r="W89" t="str" cm="1">
        <f t="array" ref="W89">_xlfn.IFS(S89&lt;0,"Loss", S89&lt;0.15,"Low Margin",S89&lt;0.3,"Medium High", TRUE, "High Margin")</f>
        <v>High Margin</v>
      </c>
      <c r="X89" t="str">
        <f t="shared" si="23"/>
        <v>06-2024</v>
      </c>
    </row>
    <row r="90" spans="1:24" x14ac:dyDescent="0.3">
      <c r="A90">
        <v>10062</v>
      </c>
      <c r="B90" s="1">
        <v>45299</v>
      </c>
      <c r="C90" t="s">
        <v>25</v>
      </c>
      <c r="D90" t="s">
        <v>12</v>
      </c>
      <c r="E90" t="s">
        <v>13</v>
      </c>
      <c r="F90" t="s">
        <v>39</v>
      </c>
      <c r="G90" t="s">
        <v>27</v>
      </c>
      <c r="I90">
        <v>182316.57</v>
      </c>
      <c r="J90">
        <v>16501.169999999998</v>
      </c>
      <c r="K90">
        <v>128559.99</v>
      </c>
      <c r="L90" t="str">
        <f t="shared" si="12"/>
        <v>Priya</v>
      </c>
      <c r="M90" t="str">
        <f t="shared" si="13"/>
        <v>South</v>
      </c>
      <c r="N90" t="str">
        <f t="shared" si="14"/>
        <v>Bengaluru</v>
      </c>
      <c r="O90" t="str">
        <f t="shared" si="15"/>
        <v>Enterprise</v>
      </c>
      <c r="P90" s="4" t="str">
        <f t="shared" si="16"/>
        <v>Unknown</v>
      </c>
      <c r="Q90">
        <f t="shared" si="17"/>
        <v>16501.169999999998</v>
      </c>
      <c r="R90" s="6">
        <f t="shared" si="18"/>
        <v>165815.40000000002</v>
      </c>
      <c r="S90">
        <f t="shared" si="19"/>
        <v>0.90949166057698438</v>
      </c>
      <c r="T90">
        <f t="shared" si="20"/>
        <v>1.4181439342053466</v>
      </c>
      <c r="U90">
        <f t="shared" si="21"/>
        <v>53756.58</v>
      </c>
      <c r="V90" t="str">
        <f t="shared" si="22"/>
        <v>Profitable</v>
      </c>
      <c r="W90" t="str" cm="1">
        <f t="array" ref="W90">_xlfn.IFS(S90&lt;0,"Loss", S90&lt;0.15,"Low Margin",S90&lt;0.3,"Medium High", TRUE, "High Margin")</f>
        <v>High Margin</v>
      </c>
      <c r="X90" t="str">
        <f t="shared" si="23"/>
        <v>01-2024</v>
      </c>
    </row>
    <row r="91" spans="1:24" x14ac:dyDescent="0.3">
      <c r="A91">
        <v>10138</v>
      </c>
      <c r="B91" s="1">
        <v>45413</v>
      </c>
      <c r="C91" t="s">
        <v>41</v>
      </c>
      <c r="D91" t="s">
        <v>17</v>
      </c>
      <c r="E91" t="s">
        <v>24</v>
      </c>
      <c r="F91" t="s">
        <v>39</v>
      </c>
      <c r="G91" t="s">
        <v>42</v>
      </c>
      <c r="H91" t="s">
        <v>21</v>
      </c>
      <c r="I91">
        <v>189190.71</v>
      </c>
      <c r="J91">
        <v>73859.63</v>
      </c>
      <c r="K91">
        <v>70807.95</v>
      </c>
      <c r="L91" t="str">
        <f t="shared" si="12"/>
        <v>Neha</v>
      </c>
      <c r="M91" t="str">
        <f t="shared" si="13"/>
        <v>West</v>
      </c>
      <c r="N91" t="str">
        <f t="shared" si="14"/>
        <v>Chennai</v>
      </c>
      <c r="O91" t="str">
        <f t="shared" si="15"/>
        <v>Enterprise</v>
      </c>
      <c r="P91" s="4" t="str">
        <f t="shared" si="16"/>
        <v>Online</v>
      </c>
      <c r="Q91">
        <f t="shared" si="17"/>
        <v>73859.63</v>
      </c>
      <c r="R91" s="6">
        <f t="shared" si="18"/>
        <v>115331.07999999999</v>
      </c>
      <c r="S91">
        <f t="shared" si="19"/>
        <v>0.60960223681173342</v>
      </c>
      <c r="T91">
        <f t="shared" si="20"/>
        <v>2.6718851484896824</v>
      </c>
      <c r="U91">
        <f t="shared" si="21"/>
        <v>118382.76</v>
      </c>
      <c r="V91" t="str">
        <f t="shared" si="22"/>
        <v>Profitable</v>
      </c>
      <c r="W91" t="str" cm="1">
        <f t="array" ref="W91">_xlfn.IFS(S91&lt;0,"Loss", S91&lt;0.15,"Low Margin",S91&lt;0.3,"Medium High", TRUE, "High Margin")</f>
        <v>High Margin</v>
      </c>
      <c r="X91" t="str">
        <f t="shared" si="23"/>
        <v>05-2024</v>
      </c>
    </row>
    <row r="92" spans="1:24" x14ac:dyDescent="0.3">
      <c r="A92">
        <v>10498</v>
      </c>
      <c r="B92" s="1">
        <v>45455</v>
      </c>
      <c r="C92" t="s">
        <v>41</v>
      </c>
      <c r="D92" t="s">
        <v>37</v>
      </c>
      <c r="E92" t="s">
        <v>38</v>
      </c>
      <c r="F92" t="s">
        <v>32</v>
      </c>
      <c r="G92" t="s">
        <v>40</v>
      </c>
      <c r="H92" t="s">
        <v>16</v>
      </c>
      <c r="I92">
        <v>192346.04</v>
      </c>
      <c r="J92">
        <v>16712.86</v>
      </c>
      <c r="L92" t="str">
        <f t="shared" si="12"/>
        <v>Neha</v>
      </c>
      <c r="M92" t="str">
        <f t="shared" si="13"/>
        <v>North</v>
      </c>
      <c r="N92" t="str">
        <f t="shared" si="14"/>
        <v>Delhi</v>
      </c>
      <c r="O92" t="str">
        <f t="shared" si="15"/>
        <v>Smb</v>
      </c>
      <c r="P92" s="4" t="str">
        <f t="shared" si="16"/>
        <v>direct</v>
      </c>
      <c r="Q92">
        <f t="shared" si="17"/>
        <v>16712.86</v>
      </c>
      <c r="R92" s="6">
        <f t="shared" si="18"/>
        <v>175633.18</v>
      </c>
      <c r="S92">
        <f t="shared" si="19"/>
        <v>0.91311045447049488</v>
      </c>
      <c r="T92">
        <f t="shared" si="20"/>
        <v>0</v>
      </c>
      <c r="U92">
        <f t="shared" si="21"/>
        <v>192346.04</v>
      </c>
      <c r="V92" t="str">
        <f t="shared" si="22"/>
        <v>Profitable</v>
      </c>
      <c r="W92" t="str" cm="1">
        <f t="array" ref="W92">_xlfn.IFS(S92&lt;0,"Loss", S92&lt;0.15,"Low Margin",S92&lt;0.3,"Medium High", TRUE, "High Margin")</f>
        <v>High Margin</v>
      </c>
      <c r="X92" t="str">
        <f t="shared" si="23"/>
        <v>06-2024</v>
      </c>
    </row>
    <row r="93" spans="1:24" x14ac:dyDescent="0.3">
      <c r="A93">
        <v>10592</v>
      </c>
      <c r="B93" s="1">
        <v>45381</v>
      </c>
      <c r="C93" t="s">
        <v>36</v>
      </c>
      <c r="D93" t="s">
        <v>12</v>
      </c>
      <c r="F93" t="s">
        <v>14</v>
      </c>
      <c r="G93" t="s">
        <v>42</v>
      </c>
      <c r="H93" t="s">
        <v>33</v>
      </c>
      <c r="I93">
        <v>108120.25</v>
      </c>
      <c r="J93">
        <v>42453.17</v>
      </c>
      <c r="K93">
        <v>171545.83</v>
      </c>
      <c r="L93" t="str">
        <f t="shared" si="12"/>
        <v>Amit</v>
      </c>
      <c r="M93" t="str">
        <f t="shared" si="13"/>
        <v>South</v>
      </c>
      <c r="N93" t="str">
        <f t="shared" si="14"/>
        <v>Unknown</v>
      </c>
      <c r="O93" t="str">
        <f t="shared" si="15"/>
        <v>Enterprise</v>
      </c>
      <c r="P93" s="4" t="str">
        <f t="shared" si="16"/>
        <v>Partner</v>
      </c>
      <c r="Q93">
        <f t="shared" si="17"/>
        <v>42453.17</v>
      </c>
      <c r="R93" s="6">
        <f t="shared" si="18"/>
        <v>65667.08</v>
      </c>
      <c r="S93">
        <f t="shared" si="19"/>
        <v>0.60735227674741787</v>
      </c>
      <c r="T93">
        <f t="shared" si="20"/>
        <v>0.63027034816293703</v>
      </c>
      <c r="U93">
        <f t="shared" si="21"/>
        <v>-63425.579999999987</v>
      </c>
      <c r="V93" t="str">
        <f t="shared" si="22"/>
        <v>Profitable</v>
      </c>
      <c r="W93" t="str" cm="1">
        <f t="array" ref="W93">_xlfn.IFS(S93&lt;0,"Loss", S93&lt;0.15,"Low Margin",S93&lt;0.3,"Medium High", TRUE, "High Margin")</f>
        <v>High Margin</v>
      </c>
      <c r="X93" t="str">
        <f t="shared" si="23"/>
        <v>03-2024</v>
      </c>
    </row>
    <row r="94" spans="1:24" x14ac:dyDescent="0.3">
      <c r="A94">
        <v>10391</v>
      </c>
      <c r="B94" s="1">
        <v>45427</v>
      </c>
      <c r="C94" t="s">
        <v>30</v>
      </c>
      <c r="D94" t="s">
        <v>37</v>
      </c>
      <c r="G94" t="s">
        <v>20</v>
      </c>
      <c r="H94" t="s">
        <v>16</v>
      </c>
      <c r="I94">
        <v>195643.12</v>
      </c>
      <c r="J94">
        <v>19712.509999999998</v>
      </c>
      <c r="K94">
        <v>161576.82</v>
      </c>
      <c r="L94" t="str">
        <f t="shared" si="12"/>
        <v>Ankit</v>
      </c>
      <c r="M94" t="str">
        <f t="shared" si="13"/>
        <v>North</v>
      </c>
      <c r="N94" t="str">
        <f t="shared" si="14"/>
        <v>Unknown</v>
      </c>
      <c r="O94" t="str">
        <f t="shared" si="15"/>
        <v>Unknown</v>
      </c>
      <c r="P94" s="4" t="str">
        <f t="shared" si="16"/>
        <v>direct</v>
      </c>
      <c r="Q94">
        <f t="shared" si="17"/>
        <v>19712.509999999998</v>
      </c>
      <c r="R94" s="6">
        <f t="shared" si="18"/>
        <v>175930.61</v>
      </c>
      <c r="S94">
        <f t="shared" si="19"/>
        <v>0.89924250850221565</v>
      </c>
      <c r="T94">
        <f t="shared" si="20"/>
        <v>1.2108365544018009</v>
      </c>
      <c r="U94">
        <f t="shared" si="21"/>
        <v>34066.299999999988</v>
      </c>
      <c r="V94" t="str">
        <f t="shared" si="22"/>
        <v>Profitable</v>
      </c>
      <c r="W94" t="str" cm="1">
        <f t="array" ref="W94">_xlfn.IFS(S94&lt;0,"Loss", S94&lt;0.15,"Low Margin",S94&lt;0.3,"Medium High", TRUE, "High Margin")</f>
        <v>High Margin</v>
      </c>
      <c r="X94" t="str">
        <f t="shared" si="23"/>
        <v>05-2024</v>
      </c>
    </row>
    <row r="95" spans="1:24" x14ac:dyDescent="0.3">
      <c r="A95">
        <v>10418</v>
      </c>
      <c r="B95" s="1">
        <v>45477</v>
      </c>
      <c r="C95" t="s">
        <v>25</v>
      </c>
      <c r="D95" t="s">
        <v>37</v>
      </c>
      <c r="E95" t="s">
        <v>26</v>
      </c>
      <c r="F95" t="s">
        <v>39</v>
      </c>
      <c r="G95" t="s">
        <v>42</v>
      </c>
      <c r="H95" t="s">
        <v>28</v>
      </c>
      <c r="I95">
        <v>153403.56</v>
      </c>
      <c r="J95">
        <v>83972.62</v>
      </c>
      <c r="K95">
        <v>138250.72</v>
      </c>
      <c r="L95" t="str">
        <f t="shared" si="12"/>
        <v>Priya</v>
      </c>
      <c r="M95" t="str">
        <f t="shared" si="13"/>
        <v>North</v>
      </c>
      <c r="N95" t="str">
        <f t="shared" si="14"/>
        <v>Mumbai</v>
      </c>
      <c r="O95" t="str">
        <f t="shared" si="15"/>
        <v>Enterprise</v>
      </c>
      <c r="P95" s="4" t="str">
        <f t="shared" si="16"/>
        <v>Direct</v>
      </c>
      <c r="Q95">
        <f t="shared" si="17"/>
        <v>83972.62</v>
      </c>
      <c r="R95" s="6">
        <f t="shared" si="18"/>
        <v>69430.94</v>
      </c>
      <c r="S95">
        <f t="shared" si="19"/>
        <v>0.45260318600168081</v>
      </c>
      <c r="T95">
        <f t="shared" si="20"/>
        <v>1.1096040584815761</v>
      </c>
      <c r="U95">
        <f t="shared" si="21"/>
        <v>15152.839999999997</v>
      </c>
      <c r="V95" t="str">
        <f t="shared" si="22"/>
        <v>Profitable</v>
      </c>
      <c r="W95" t="str" cm="1">
        <f t="array" ref="W95">_xlfn.IFS(S95&lt;0,"Loss", S95&lt;0.15,"Low Margin",S95&lt;0.3,"Medium High", TRUE, "High Margin")</f>
        <v>High Margin</v>
      </c>
      <c r="X95" t="str">
        <f t="shared" si="23"/>
        <v>07-2024</v>
      </c>
    </row>
    <row r="96" spans="1:24" x14ac:dyDescent="0.3">
      <c r="A96">
        <v>10288</v>
      </c>
      <c r="B96" s="1">
        <v>45469</v>
      </c>
      <c r="C96" t="s">
        <v>41</v>
      </c>
      <c r="D96" t="s">
        <v>37</v>
      </c>
      <c r="E96" t="s">
        <v>24</v>
      </c>
      <c r="F96" t="s">
        <v>32</v>
      </c>
      <c r="G96" t="s">
        <v>20</v>
      </c>
      <c r="H96" t="s">
        <v>28</v>
      </c>
      <c r="I96">
        <v>39040.92</v>
      </c>
      <c r="J96">
        <v>27131.5</v>
      </c>
      <c r="K96">
        <v>64394.35</v>
      </c>
      <c r="L96" t="str">
        <f t="shared" si="12"/>
        <v>Neha</v>
      </c>
      <c r="M96" t="str">
        <f t="shared" si="13"/>
        <v>North</v>
      </c>
      <c r="N96" t="str">
        <f t="shared" si="14"/>
        <v>Chennai</v>
      </c>
      <c r="O96" t="str">
        <f t="shared" si="15"/>
        <v>Smb</v>
      </c>
      <c r="P96" s="4" t="str">
        <f t="shared" si="16"/>
        <v>Direct</v>
      </c>
      <c r="Q96">
        <f t="shared" si="17"/>
        <v>27131.5</v>
      </c>
      <c r="R96" s="6">
        <f t="shared" si="18"/>
        <v>11909.419999999998</v>
      </c>
      <c r="S96">
        <f t="shared" si="19"/>
        <v>0.3050496760834529</v>
      </c>
      <c r="T96">
        <f t="shared" si="20"/>
        <v>0.60627865643492018</v>
      </c>
      <c r="U96">
        <f t="shared" si="21"/>
        <v>-25353.43</v>
      </c>
      <c r="V96" t="str">
        <f t="shared" si="22"/>
        <v>Profitable</v>
      </c>
      <c r="W96" t="str" cm="1">
        <f t="array" ref="W96">_xlfn.IFS(S96&lt;0,"Loss", S96&lt;0.15,"Low Margin",S96&lt;0.3,"Medium High", TRUE, "High Margin")</f>
        <v>High Margin</v>
      </c>
      <c r="X96" t="str">
        <f t="shared" si="23"/>
        <v>06-2024</v>
      </c>
    </row>
    <row r="97" spans="1:24" x14ac:dyDescent="0.3">
      <c r="A97">
        <v>10378</v>
      </c>
      <c r="B97" s="1">
        <v>45319</v>
      </c>
      <c r="C97" t="s">
        <v>45</v>
      </c>
      <c r="D97" t="s">
        <v>31</v>
      </c>
      <c r="E97" t="s">
        <v>44</v>
      </c>
      <c r="F97" t="s">
        <v>32</v>
      </c>
      <c r="G97" t="s">
        <v>43</v>
      </c>
      <c r="I97">
        <v>99564.82</v>
      </c>
      <c r="J97">
        <v>48847.55</v>
      </c>
      <c r="K97">
        <v>65058.57</v>
      </c>
      <c r="L97" t="str">
        <f t="shared" si="12"/>
        <v>Rahul</v>
      </c>
      <c r="M97" t="str">
        <f t="shared" si="13"/>
        <v>South</v>
      </c>
      <c r="N97" t="str">
        <f t="shared" si="14"/>
        <v>Pune</v>
      </c>
      <c r="O97" t="str">
        <f t="shared" si="15"/>
        <v>Smb</v>
      </c>
      <c r="P97" s="4" t="str">
        <f t="shared" si="16"/>
        <v>Unknown</v>
      </c>
      <c r="Q97">
        <f t="shared" si="17"/>
        <v>48847.55</v>
      </c>
      <c r="R97" s="6">
        <f t="shared" si="18"/>
        <v>50717.270000000004</v>
      </c>
      <c r="S97">
        <f t="shared" si="19"/>
        <v>0.50938946105662619</v>
      </c>
      <c r="T97">
        <f t="shared" si="20"/>
        <v>1.5303874647106448</v>
      </c>
      <c r="U97">
        <f t="shared" si="21"/>
        <v>34506.250000000007</v>
      </c>
      <c r="V97" t="str">
        <f t="shared" si="22"/>
        <v>Profitable</v>
      </c>
      <c r="W97" t="str" cm="1">
        <f t="array" ref="W97">_xlfn.IFS(S97&lt;0,"Loss", S97&lt;0.15,"Low Margin",S97&lt;0.3,"Medium High", TRUE, "High Margin")</f>
        <v>High Margin</v>
      </c>
      <c r="X97" t="str">
        <f t="shared" si="23"/>
        <v>01-2024</v>
      </c>
    </row>
    <row r="98" spans="1:24" x14ac:dyDescent="0.3">
      <c r="A98">
        <v>10489</v>
      </c>
      <c r="B98" s="1">
        <v>45511</v>
      </c>
      <c r="C98" t="s">
        <v>22</v>
      </c>
      <c r="D98" t="s">
        <v>23</v>
      </c>
      <c r="E98" t="s">
        <v>26</v>
      </c>
      <c r="F98" t="s">
        <v>32</v>
      </c>
      <c r="G98" t="s">
        <v>43</v>
      </c>
      <c r="I98">
        <v>145919.59</v>
      </c>
      <c r="J98">
        <v>107793.95</v>
      </c>
      <c r="L98" t="str">
        <f t="shared" si="12"/>
        <v>Amit</v>
      </c>
      <c r="M98" t="str">
        <f t="shared" si="13"/>
        <v>West</v>
      </c>
      <c r="N98" t="str">
        <f t="shared" si="14"/>
        <v>Mumbai</v>
      </c>
      <c r="O98" t="str">
        <f t="shared" si="15"/>
        <v>Smb</v>
      </c>
      <c r="P98" s="4" t="str">
        <f t="shared" si="16"/>
        <v>Unknown</v>
      </c>
      <c r="Q98">
        <f t="shared" si="17"/>
        <v>107793.95</v>
      </c>
      <c r="R98" s="6">
        <f t="shared" si="18"/>
        <v>38125.64</v>
      </c>
      <c r="S98">
        <f t="shared" si="19"/>
        <v>0.26127842053284278</v>
      </c>
      <c r="T98">
        <f t="shared" si="20"/>
        <v>0</v>
      </c>
      <c r="U98">
        <f t="shared" si="21"/>
        <v>145919.59</v>
      </c>
      <c r="V98" t="str">
        <f t="shared" si="22"/>
        <v>Profitable</v>
      </c>
      <c r="W98" t="str" cm="1">
        <f t="array" ref="W98">_xlfn.IFS(S98&lt;0,"Loss", S98&lt;0.15,"Low Margin",S98&lt;0.3,"Medium High", TRUE, "High Margin")</f>
        <v>Medium High</v>
      </c>
      <c r="X98" t="str">
        <f t="shared" si="23"/>
        <v>08-2024</v>
      </c>
    </row>
    <row r="99" spans="1:24" x14ac:dyDescent="0.3">
      <c r="A99">
        <v>10230</v>
      </c>
      <c r="B99" s="1">
        <v>45332</v>
      </c>
      <c r="C99" t="s">
        <v>22</v>
      </c>
      <c r="D99" t="s">
        <v>37</v>
      </c>
      <c r="E99" t="s">
        <v>26</v>
      </c>
      <c r="F99" t="s">
        <v>14</v>
      </c>
      <c r="G99" t="s">
        <v>15</v>
      </c>
      <c r="H99" t="s">
        <v>21</v>
      </c>
      <c r="I99">
        <v>55489.34</v>
      </c>
      <c r="J99">
        <v>26905.02</v>
      </c>
      <c r="K99">
        <v>21645.52</v>
      </c>
      <c r="L99" t="str">
        <f t="shared" si="12"/>
        <v>Amit</v>
      </c>
      <c r="M99" t="str">
        <f t="shared" si="13"/>
        <v>North</v>
      </c>
      <c r="N99" t="str">
        <f t="shared" si="14"/>
        <v>Mumbai</v>
      </c>
      <c r="O99" t="str">
        <f t="shared" si="15"/>
        <v>Enterprise</v>
      </c>
      <c r="P99" s="4" t="str">
        <f t="shared" si="16"/>
        <v>Online</v>
      </c>
      <c r="Q99">
        <f t="shared" si="17"/>
        <v>26905.02</v>
      </c>
      <c r="R99" s="6">
        <f t="shared" si="18"/>
        <v>28584.319999999996</v>
      </c>
      <c r="S99">
        <f t="shared" si="19"/>
        <v>0.51513173521256517</v>
      </c>
      <c r="T99">
        <f t="shared" si="20"/>
        <v>2.5635484848596843</v>
      </c>
      <c r="U99">
        <f t="shared" si="21"/>
        <v>33843.819999999992</v>
      </c>
      <c r="V99" t="str">
        <f t="shared" si="22"/>
        <v>Profitable</v>
      </c>
      <c r="W99" t="str" cm="1">
        <f t="array" ref="W99">_xlfn.IFS(S99&lt;0,"Loss", S99&lt;0.15,"Low Margin",S99&lt;0.3,"Medium High", TRUE, "High Margin")</f>
        <v>High Margin</v>
      </c>
      <c r="X99" t="str">
        <f t="shared" si="23"/>
        <v>02-2024</v>
      </c>
    </row>
    <row r="100" spans="1:24" x14ac:dyDescent="0.3">
      <c r="A100">
        <v>10040</v>
      </c>
      <c r="B100" s="1">
        <v>45519</v>
      </c>
      <c r="C100" t="s">
        <v>25</v>
      </c>
      <c r="D100" t="s">
        <v>31</v>
      </c>
      <c r="E100" t="s">
        <v>18</v>
      </c>
      <c r="G100" t="s">
        <v>15</v>
      </c>
      <c r="H100" t="s">
        <v>16</v>
      </c>
      <c r="I100">
        <v>130998.12</v>
      </c>
      <c r="J100">
        <v>62413.19</v>
      </c>
      <c r="K100">
        <v>134568</v>
      </c>
      <c r="L100" t="str">
        <f t="shared" si="12"/>
        <v>Priya</v>
      </c>
      <c r="M100" t="str">
        <f t="shared" si="13"/>
        <v>South</v>
      </c>
      <c r="N100" t="str">
        <f t="shared" si="14"/>
        <v>Bengaluru</v>
      </c>
      <c r="O100" t="str">
        <f t="shared" si="15"/>
        <v>Unknown</v>
      </c>
      <c r="P100" s="4" t="str">
        <f t="shared" si="16"/>
        <v>direct</v>
      </c>
      <c r="Q100">
        <f t="shared" si="17"/>
        <v>62413.19</v>
      </c>
      <c r="R100" s="6">
        <f t="shared" si="18"/>
        <v>68584.929999999993</v>
      </c>
      <c r="S100">
        <f t="shared" si="19"/>
        <v>0.5235565976061336</v>
      </c>
      <c r="T100">
        <f t="shared" si="20"/>
        <v>0.97347155341537361</v>
      </c>
      <c r="U100">
        <f t="shared" si="21"/>
        <v>-3569.8800000000047</v>
      </c>
      <c r="V100" t="str">
        <f t="shared" si="22"/>
        <v>Profitable</v>
      </c>
      <c r="W100" t="str" cm="1">
        <f t="array" ref="W100">_xlfn.IFS(S100&lt;0,"Loss", S100&lt;0.15,"Low Margin",S100&lt;0.3,"Medium High", TRUE, "High Margin")</f>
        <v>High Margin</v>
      </c>
      <c r="X100" t="str">
        <f t="shared" si="23"/>
        <v>08-2024</v>
      </c>
    </row>
    <row r="101" spans="1:24" x14ac:dyDescent="0.3">
      <c r="A101">
        <v>10027</v>
      </c>
      <c r="B101" s="1">
        <v>45483</v>
      </c>
      <c r="C101" t="s">
        <v>30</v>
      </c>
      <c r="D101" t="s">
        <v>17</v>
      </c>
      <c r="E101" t="s">
        <v>35</v>
      </c>
      <c r="F101" t="s">
        <v>14</v>
      </c>
      <c r="G101" t="s">
        <v>27</v>
      </c>
      <c r="H101" t="s">
        <v>28</v>
      </c>
      <c r="I101">
        <v>135987.29</v>
      </c>
      <c r="K101">
        <v>132999.39000000001</v>
      </c>
      <c r="L101" t="str">
        <f t="shared" si="12"/>
        <v>Ankit</v>
      </c>
      <c r="M101" t="str">
        <f t="shared" si="13"/>
        <v>West</v>
      </c>
      <c r="N101" t="str">
        <f t="shared" si="14"/>
        <v>Hyderabad</v>
      </c>
      <c r="O101" t="str">
        <f t="shared" si="15"/>
        <v>Enterprise</v>
      </c>
      <c r="P101" s="4" t="str">
        <f t="shared" si="16"/>
        <v>Direct</v>
      </c>
      <c r="Q101">
        <f t="shared" si="17"/>
        <v>0</v>
      </c>
      <c r="R101" s="6">
        <f t="shared" si="18"/>
        <v>135987.29</v>
      </c>
      <c r="S101">
        <f t="shared" si="19"/>
        <v>1</v>
      </c>
      <c r="T101">
        <f t="shared" si="20"/>
        <v>1.0224655165711662</v>
      </c>
      <c r="U101">
        <f t="shared" si="21"/>
        <v>2987.8999999999942</v>
      </c>
      <c r="V101" t="str">
        <f t="shared" si="22"/>
        <v>Profitable</v>
      </c>
      <c r="W101" t="str" cm="1">
        <f t="array" ref="W101">_xlfn.IFS(S101&lt;0,"Loss", S101&lt;0.15,"Low Margin",S101&lt;0.3,"Medium High", TRUE, "High Margin")</f>
        <v>High Margin</v>
      </c>
      <c r="X101" t="str">
        <f t="shared" si="23"/>
        <v>07-2024</v>
      </c>
    </row>
    <row r="102" spans="1:24" x14ac:dyDescent="0.3">
      <c r="A102">
        <v>10134</v>
      </c>
      <c r="B102" s="1">
        <v>45436</v>
      </c>
      <c r="C102" t="s">
        <v>30</v>
      </c>
      <c r="D102" t="s">
        <v>12</v>
      </c>
      <c r="E102" t="s">
        <v>24</v>
      </c>
      <c r="F102" t="s">
        <v>19</v>
      </c>
      <c r="G102" t="s">
        <v>40</v>
      </c>
      <c r="I102">
        <v>39238.35</v>
      </c>
      <c r="J102">
        <v>5120.51</v>
      </c>
      <c r="K102">
        <v>119630.33</v>
      </c>
      <c r="L102" t="str">
        <f t="shared" si="12"/>
        <v>Ankit</v>
      </c>
      <c r="M102" t="str">
        <f t="shared" si="13"/>
        <v>South</v>
      </c>
      <c r="N102" t="str">
        <f t="shared" si="14"/>
        <v>Chennai</v>
      </c>
      <c r="O102" t="str">
        <f t="shared" si="15"/>
        <v>Startup</v>
      </c>
      <c r="P102" s="4" t="str">
        <f t="shared" si="16"/>
        <v>Unknown</v>
      </c>
      <c r="Q102">
        <f t="shared" si="17"/>
        <v>5120.51</v>
      </c>
      <c r="R102" s="6">
        <f t="shared" si="18"/>
        <v>34117.839999999997</v>
      </c>
      <c r="S102">
        <f t="shared" si="19"/>
        <v>0.86950241281807206</v>
      </c>
      <c r="T102">
        <f t="shared" si="20"/>
        <v>0.32799667107831265</v>
      </c>
      <c r="U102">
        <f t="shared" si="21"/>
        <v>-80391.98000000001</v>
      </c>
      <c r="V102" t="str">
        <f t="shared" si="22"/>
        <v>Profitable</v>
      </c>
      <c r="W102" t="str" cm="1">
        <f t="array" ref="W102">_xlfn.IFS(S102&lt;0,"Loss", S102&lt;0.15,"Low Margin",S102&lt;0.3,"Medium High", TRUE, "High Margin")</f>
        <v>High Margin</v>
      </c>
      <c r="X102" t="str">
        <f t="shared" si="23"/>
        <v>05-2024</v>
      </c>
    </row>
    <row r="103" spans="1:24" x14ac:dyDescent="0.3">
      <c r="A103">
        <v>10200</v>
      </c>
      <c r="B103" s="1">
        <v>45492</v>
      </c>
      <c r="C103" t="s">
        <v>29</v>
      </c>
      <c r="D103" t="s">
        <v>23</v>
      </c>
      <c r="E103" t="s">
        <v>26</v>
      </c>
      <c r="F103" t="s">
        <v>32</v>
      </c>
      <c r="G103" t="s">
        <v>27</v>
      </c>
      <c r="H103" t="s">
        <v>16</v>
      </c>
      <c r="I103">
        <v>116496.38</v>
      </c>
      <c r="J103">
        <v>95752.7</v>
      </c>
      <c r="K103">
        <v>178417.42</v>
      </c>
      <c r="L103" t="str">
        <f t="shared" si="12"/>
        <v>Sneha</v>
      </c>
      <c r="M103" t="str">
        <f t="shared" si="13"/>
        <v>West</v>
      </c>
      <c r="N103" t="str">
        <f t="shared" si="14"/>
        <v>Mumbai</v>
      </c>
      <c r="O103" t="str">
        <f t="shared" si="15"/>
        <v>Smb</v>
      </c>
      <c r="P103" s="4" t="str">
        <f t="shared" si="16"/>
        <v>direct</v>
      </c>
      <c r="Q103">
        <f t="shared" si="17"/>
        <v>95752.7</v>
      </c>
      <c r="R103" s="6">
        <f t="shared" si="18"/>
        <v>20743.680000000008</v>
      </c>
      <c r="S103">
        <f t="shared" si="19"/>
        <v>0.17806287199653764</v>
      </c>
      <c r="T103">
        <f t="shared" si="20"/>
        <v>0.65294285726135937</v>
      </c>
      <c r="U103">
        <f t="shared" si="21"/>
        <v>-61921.040000000008</v>
      </c>
      <c r="V103" t="str">
        <f t="shared" si="22"/>
        <v>Profitable</v>
      </c>
      <c r="W103" t="str" cm="1">
        <f t="array" ref="W103">_xlfn.IFS(S103&lt;0,"Loss", S103&lt;0.15,"Low Margin",S103&lt;0.3,"Medium High", TRUE, "High Margin")</f>
        <v>Medium High</v>
      </c>
      <c r="X103" t="str">
        <f t="shared" si="23"/>
        <v>07-2024</v>
      </c>
    </row>
    <row r="104" spans="1:24" x14ac:dyDescent="0.3">
      <c r="A104">
        <v>10032</v>
      </c>
      <c r="B104" s="1">
        <v>45503</v>
      </c>
      <c r="E104" t="s">
        <v>18</v>
      </c>
      <c r="F104" t="s">
        <v>19</v>
      </c>
      <c r="G104" t="s">
        <v>20</v>
      </c>
      <c r="I104">
        <v>156152.37</v>
      </c>
      <c r="J104">
        <v>11078.37</v>
      </c>
      <c r="K104">
        <v>69900.710000000006</v>
      </c>
      <c r="L104" t="str">
        <f t="shared" si="12"/>
        <v>Unassigned</v>
      </c>
      <c r="M104" t="str">
        <f t="shared" si="13"/>
        <v>Unknown</v>
      </c>
      <c r="N104" t="str">
        <f t="shared" si="14"/>
        <v>Bengaluru</v>
      </c>
      <c r="O104" t="str">
        <f t="shared" si="15"/>
        <v>Startup</v>
      </c>
      <c r="P104" s="4" t="str">
        <f t="shared" si="16"/>
        <v>Unknown</v>
      </c>
      <c r="Q104">
        <f t="shared" si="17"/>
        <v>11078.37</v>
      </c>
      <c r="R104" s="6">
        <f t="shared" si="18"/>
        <v>145074</v>
      </c>
      <c r="S104">
        <f t="shared" si="19"/>
        <v>0.92905410273311895</v>
      </c>
      <c r="T104">
        <f t="shared" si="20"/>
        <v>2.2339167942643212</v>
      </c>
      <c r="U104">
        <f t="shared" si="21"/>
        <v>86251.659999999989</v>
      </c>
      <c r="V104" t="str">
        <f t="shared" si="22"/>
        <v>Profitable</v>
      </c>
      <c r="W104" t="str" cm="1">
        <f t="array" ref="W104">_xlfn.IFS(S104&lt;0,"Loss", S104&lt;0.15,"Low Margin",S104&lt;0.3,"Medium High", TRUE, "High Margin")</f>
        <v>High Margin</v>
      </c>
      <c r="X104" t="str">
        <f t="shared" si="23"/>
        <v>07-2024</v>
      </c>
    </row>
    <row r="105" spans="1:24" x14ac:dyDescent="0.3">
      <c r="A105">
        <v>10047</v>
      </c>
      <c r="B105" s="1">
        <v>45511</v>
      </c>
      <c r="C105" t="s">
        <v>41</v>
      </c>
      <c r="D105" t="s">
        <v>12</v>
      </c>
      <c r="E105" t="s">
        <v>44</v>
      </c>
      <c r="F105" t="s">
        <v>39</v>
      </c>
      <c r="G105" t="s">
        <v>27</v>
      </c>
      <c r="I105">
        <v>103787.97</v>
      </c>
      <c r="J105">
        <v>58487.839999999997</v>
      </c>
      <c r="K105">
        <v>74395.5</v>
      </c>
      <c r="L105" t="str">
        <f t="shared" si="12"/>
        <v>Neha</v>
      </c>
      <c r="M105" t="str">
        <f t="shared" si="13"/>
        <v>South</v>
      </c>
      <c r="N105" t="str">
        <f t="shared" si="14"/>
        <v>Pune</v>
      </c>
      <c r="O105" t="str">
        <f t="shared" si="15"/>
        <v>Enterprise</v>
      </c>
      <c r="P105" s="4" t="str">
        <f t="shared" si="16"/>
        <v>Unknown</v>
      </c>
      <c r="Q105">
        <f t="shared" si="17"/>
        <v>58487.839999999997</v>
      </c>
      <c r="R105" s="6">
        <f t="shared" si="18"/>
        <v>45300.130000000005</v>
      </c>
      <c r="S105">
        <f t="shared" si="19"/>
        <v>0.43646802225730019</v>
      </c>
      <c r="T105">
        <f t="shared" si="20"/>
        <v>1.3950839768534387</v>
      </c>
      <c r="U105">
        <f t="shared" si="21"/>
        <v>29392.47</v>
      </c>
      <c r="V105" t="str">
        <f t="shared" si="22"/>
        <v>Profitable</v>
      </c>
      <c r="W105" t="str" cm="1">
        <f t="array" ref="W105">_xlfn.IFS(S105&lt;0,"Loss", S105&lt;0.15,"Low Margin",S105&lt;0.3,"Medium High", TRUE, "High Margin")</f>
        <v>High Margin</v>
      </c>
      <c r="X105" t="str">
        <f t="shared" si="23"/>
        <v>08-2024</v>
      </c>
    </row>
    <row r="106" spans="1:24" x14ac:dyDescent="0.3">
      <c r="A106">
        <v>10502</v>
      </c>
      <c r="B106" s="1">
        <v>45531</v>
      </c>
      <c r="C106" t="s">
        <v>30</v>
      </c>
      <c r="D106" t="s">
        <v>23</v>
      </c>
      <c r="E106" t="s">
        <v>38</v>
      </c>
      <c r="F106" t="s">
        <v>39</v>
      </c>
      <c r="G106" t="s">
        <v>42</v>
      </c>
      <c r="H106" t="s">
        <v>28</v>
      </c>
      <c r="I106">
        <v>10323.799999999999</v>
      </c>
      <c r="J106">
        <v>68599.360000000001</v>
      </c>
      <c r="K106">
        <v>32630.3</v>
      </c>
      <c r="L106" t="str">
        <f t="shared" si="12"/>
        <v>Ankit</v>
      </c>
      <c r="M106" t="str">
        <f t="shared" si="13"/>
        <v>West</v>
      </c>
      <c r="N106" t="str">
        <f t="shared" si="14"/>
        <v>Delhi</v>
      </c>
      <c r="O106" t="str">
        <f t="shared" si="15"/>
        <v>Enterprise</v>
      </c>
      <c r="P106" s="4" t="str">
        <f t="shared" si="16"/>
        <v>Direct</v>
      </c>
      <c r="Q106">
        <f t="shared" si="17"/>
        <v>68599.360000000001</v>
      </c>
      <c r="R106" s="6">
        <f t="shared" si="18"/>
        <v>-58275.56</v>
      </c>
      <c r="S106">
        <f t="shared" si="19"/>
        <v>-5.6447780855886398</v>
      </c>
      <c r="T106">
        <f t="shared" si="20"/>
        <v>0.31638691645495137</v>
      </c>
      <c r="U106">
        <f t="shared" si="21"/>
        <v>-22306.5</v>
      </c>
      <c r="V106" t="str">
        <f t="shared" si="22"/>
        <v>Unprofitable</v>
      </c>
      <c r="W106" t="str" cm="1">
        <f t="array" ref="W106">_xlfn.IFS(S106&lt;0,"Loss", S106&lt;0.15,"Low Margin",S106&lt;0.3,"Medium High", TRUE, "High Margin")</f>
        <v>Loss</v>
      </c>
      <c r="X106" t="str">
        <f t="shared" si="23"/>
        <v>08-2024</v>
      </c>
    </row>
    <row r="107" spans="1:24" x14ac:dyDescent="0.3">
      <c r="A107">
        <v>10406</v>
      </c>
      <c r="B107" s="1">
        <v>45337</v>
      </c>
      <c r="C107" t="s">
        <v>45</v>
      </c>
      <c r="E107" t="s">
        <v>13</v>
      </c>
      <c r="F107" t="s">
        <v>14</v>
      </c>
      <c r="G107" t="s">
        <v>20</v>
      </c>
      <c r="H107" t="s">
        <v>28</v>
      </c>
      <c r="I107">
        <v>9735.39</v>
      </c>
      <c r="J107">
        <v>76525.899999999994</v>
      </c>
      <c r="K107">
        <v>90847.7</v>
      </c>
      <c r="L107" t="str">
        <f t="shared" si="12"/>
        <v>Rahul</v>
      </c>
      <c r="M107" t="str">
        <f t="shared" si="13"/>
        <v>Unknown</v>
      </c>
      <c r="N107" t="str">
        <f t="shared" si="14"/>
        <v>Bengaluru</v>
      </c>
      <c r="O107" t="str">
        <f t="shared" si="15"/>
        <v>Enterprise</v>
      </c>
      <c r="P107" s="4" t="str">
        <f t="shared" si="16"/>
        <v>Direct</v>
      </c>
      <c r="Q107">
        <f t="shared" si="17"/>
        <v>76525.899999999994</v>
      </c>
      <c r="R107" s="6">
        <f t="shared" si="18"/>
        <v>-66790.509999999995</v>
      </c>
      <c r="S107">
        <f t="shared" si="19"/>
        <v>-6.8605890467664876</v>
      </c>
      <c r="T107">
        <f t="shared" si="20"/>
        <v>0.10716165626647675</v>
      </c>
      <c r="U107">
        <f t="shared" si="21"/>
        <v>-81112.31</v>
      </c>
      <c r="V107" t="str">
        <f t="shared" si="22"/>
        <v>Unprofitable</v>
      </c>
      <c r="W107" t="str" cm="1">
        <f t="array" ref="W107">_xlfn.IFS(S107&lt;0,"Loss", S107&lt;0.15,"Low Margin",S107&lt;0.3,"Medium High", TRUE, "High Margin")</f>
        <v>Loss</v>
      </c>
      <c r="X107" t="str">
        <f t="shared" si="23"/>
        <v>02-2024</v>
      </c>
    </row>
    <row r="108" spans="1:24" x14ac:dyDescent="0.3">
      <c r="A108">
        <v>10573</v>
      </c>
      <c r="B108" s="1">
        <v>45326</v>
      </c>
      <c r="C108" t="s">
        <v>25</v>
      </c>
      <c r="D108" t="s">
        <v>12</v>
      </c>
      <c r="E108" t="s">
        <v>13</v>
      </c>
      <c r="G108" t="s">
        <v>15</v>
      </c>
      <c r="I108">
        <v>76549.63</v>
      </c>
      <c r="J108">
        <v>83569.899999999994</v>
      </c>
      <c r="L108" t="str">
        <f t="shared" si="12"/>
        <v>Priya</v>
      </c>
      <c r="M108" t="str">
        <f t="shared" si="13"/>
        <v>South</v>
      </c>
      <c r="N108" t="str">
        <f t="shared" si="14"/>
        <v>Bengaluru</v>
      </c>
      <c r="O108" t="str">
        <f t="shared" si="15"/>
        <v>Unknown</v>
      </c>
      <c r="P108" s="4" t="str">
        <f t="shared" si="16"/>
        <v>Unknown</v>
      </c>
      <c r="Q108">
        <f t="shared" si="17"/>
        <v>83569.899999999994</v>
      </c>
      <c r="R108" s="6">
        <f t="shared" si="18"/>
        <v>-7020.2699999999895</v>
      </c>
      <c r="S108">
        <f t="shared" si="19"/>
        <v>-9.1708738500760736E-2</v>
      </c>
      <c r="T108">
        <f t="shared" si="20"/>
        <v>0</v>
      </c>
      <c r="U108">
        <f t="shared" si="21"/>
        <v>76549.63</v>
      </c>
      <c r="V108" t="str">
        <f t="shared" si="22"/>
        <v>Unprofitable</v>
      </c>
      <c r="W108" t="str" cm="1">
        <f t="array" ref="W108">_xlfn.IFS(S108&lt;0,"Loss", S108&lt;0.15,"Low Margin",S108&lt;0.3,"Medium High", TRUE, "High Margin")</f>
        <v>Loss</v>
      </c>
      <c r="X108" t="str">
        <f t="shared" si="23"/>
        <v>02-2024</v>
      </c>
    </row>
    <row r="109" spans="1:24" x14ac:dyDescent="0.3">
      <c r="A109">
        <v>10098</v>
      </c>
      <c r="B109" s="1">
        <v>45544</v>
      </c>
      <c r="C109" t="s">
        <v>29</v>
      </c>
      <c r="D109" t="s">
        <v>23</v>
      </c>
      <c r="E109" t="s">
        <v>24</v>
      </c>
      <c r="F109" t="s">
        <v>19</v>
      </c>
      <c r="G109" t="s">
        <v>43</v>
      </c>
      <c r="H109" t="s">
        <v>33</v>
      </c>
      <c r="I109">
        <v>185829.26</v>
      </c>
      <c r="J109">
        <v>32632.87</v>
      </c>
      <c r="L109" t="str">
        <f t="shared" si="12"/>
        <v>Sneha</v>
      </c>
      <c r="M109" t="str">
        <f t="shared" si="13"/>
        <v>West</v>
      </c>
      <c r="N109" t="str">
        <f t="shared" si="14"/>
        <v>Chennai</v>
      </c>
      <c r="O109" t="str">
        <f t="shared" si="15"/>
        <v>Startup</v>
      </c>
      <c r="P109" s="4" t="str">
        <f t="shared" si="16"/>
        <v>Partner</v>
      </c>
      <c r="Q109">
        <f t="shared" si="17"/>
        <v>32632.87</v>
      </c>
      <c r="R109" s="6">
        <f t="shared" si="18"/>
        <v>153196.39000000001</v>
      </c>
      <c r="S109">
        <f t="shared" si="19"/>
        <v>0.82439326293394277</v>
      </c>
      <c r="T109">
        <f t="shared" si="20"/>
        <v>0</v>
      </c>
      <c r="U109">
        <f t="shared" si="21"/>
        <v>185829.26</v>
      </c>
      <c r="V109" t="str">
        <f t="shared" si="22"/>
        <v>Profitable</v>
      </c>
      <c r="W109" t="str" cm="1">
        <f t="array" ref="W109">_xlfn.IFS(S109&lt;0,"Loss", S109&lt;0.15,"Low Margin",S109&lt;0.3,"Medium High", TRUE, "High Margin")</f>
        <v>High Margin</v>
      </c>
      <c r="X109" t="str">
        <f t="shared" si="23"/>
        <v>09-2024</v>
      </c>
    </row>
    <row r="110" spans="1:24" x14ac:dyDescent="0.3">
      <c r="A110">
        <v>10546</v>
      </c>
      <c r="B110" s="1">
        <v>45373</v>
      </c>
      <c r="C110" t="s">
        <v>11</v>
      </c>
      <c r="D110" t="s">
        <v>12</v>
      </c>
      <c r="E110" t="s">
        <v>26</v>
      </c>
      <c r="G110" t="s">
        <v>15</v>
      </c>
      <c r="I110">
        <v>51905.94</v>
      </c>
      <c r="J110">
        <v>4167.5200000000004</v>
      </c>
      <c r="K110">
        <v>153531.49</v>
      </c>
      <c r="L110" t="str">
        <f t="shared" si="12"/>
        <v>Rahul</v>
      </c>
      <c r="M110" t="str">
        <f t="shared" si="13"/>
        <v>South</v>
      </c>
      <c r="N110" t="str">
        <f t="shared" si="14"/>
        <v>Mumbai</v>
      </c>
      <c r="O110" t="str">
        <f t="shared" si="15"/>
        <v>Unknown</v>
      </c>
      <c r="P110" s="4" t="str">
        <f t="shared" si="16"/>
        <v>Unknown</v>
      </c>
      <c r="Q110">
        <f t="shared" si="17"/>
        <v>4167.5200000000004</v>
      </c>
      <c r="R110" s="6">
        <f t="shared" si="18"/>
        <v>47738.42</v>
      </c>
      <c r="S110">
        <f t="shared" si="19"/>
        <v>0.91971015263378331</v>
      </c>
      <c r="T110">
        <f t="shared" si="20"/>
        <v>0.33808009027985075</v>
      </c>
      <c r="U110">
        <f t="shared" si="21"/>
        <v>-101625.54999999999</v>
      </c>
      <c r="V110" t="str">
        <f t="shared" si="22"/>
        <v>Profitable</v>
      </c>
      <c r="W110" t="str" cm="1">
        <f t="array" ref="W110">_xlfn.IFS(S110&lt;0,"Loss", S110&lt;0.15,"Low Margin",S110&lt;0.3,"Medium High", TRUE, "High Margin")</f>
        <v>High Margin</v>
      </c>
      <c r="X110" t="str">
        <f t="shared" si="23"/>
        <v>03-2024</v>
      </c>
    </row>
    <row r="111" spans="1:24" x14ac:dyDescent="0.3">
      <c r="A111">
        <v>10461</v>
      </c>
      <c r="B111" s="1">
        <v>45547</v>
      </c>
      <c r="C111" t="s">
        <v>36</v>
      </c>
      <c r="D111" t="s">
        <v>12</v>
      </c>
      <c r="E111" t="s">
        <v>13</v>
      </c>
      <c r="F111" t="s">
        <v>14</v>
      </c>
      <c r="G111" t="s">
        <v>40</v>
      </c>
      <c r="I111">
        <v>129797.83</v>
      </c>
      <c r="J111">
        <v>87642.91</v>
      </c>
      <c r="K111">
        <v>169677.52</v>
      </c>
      <c r="L111" t="str">
        <f t="shared" si="12"/>
        <v>Amit</v>
      </c>
      <c r="M111" t="str">
        <f t="shared" si="13"/>
        <v>South</v>
      </c>
      <c r="N111" t="str">
        <f t="shared" si="14"/>
        <v>Bengaluru</v>
      </c>
      <c r="O111" t="str">
        <f t="shared" si="15"/>
        <v>Enterprise</v>
      </c>
      <c r="P111" s="4" t="str">
        <f t="shared" si="16"/>
        <v>Unknown</v>
      </c>
      <c r="Q111">
        <f t="shared" si="17"/>
        <v>87642.91</v>
      </c>
      <c r="R111" s="6">
        <f t="shared" si="18"/>
        <v>42154.92</v>
      </c>
      <c r="S111">
        <f t="shared" si="19"/>
        <v>0.32477368843531512</v>
      </c>
      <c r="T111">
        <f t="shared" si="20"/>
        <v>0.76496774587464511</v>
      </c>
      <c r="U111">
        <f t="shared" si="21"/>
        <v>-39879.689999999988</v>
      </c>
      <c r="V111" t="str">
        <f t="shared" si="22"/>
        <v>Profitable</v>
      </c>
      <c r="W111" t="str" cm="1">
        <f t="array" ref="W111">_xlfn.IFS(S111&lt;0,"Loss", S111&lt;0.15,"Low Margin",S111&lt;0.3,"Medium High", TRUE, "High Margin")</f>
        <v>High Margin</v>
      </c>
      <c r="X111" t="str">
        <f t="shared" si="23"/>
        <v>09-2024</v>
      </c>
    </row>
    <row r="112" spans="1:24" x14ac:dyDescent="0.3">
      <c r="A112">
        <v>10004</v>
      </c>
      <c r="B112" s="1">
        <v>45488</v>
      </c>
      <c r="C112" t="s">
        <v>11</v>
      </c>
      <c r="E112" t="s">
        <v>35</v>
      </c>
      <c r="F112" t="s">
        <v>39</v>
      </c>
      <c r="G112" t="s">
        <v>20</v>
      </c>
      <c r="H112" t="s">
        <v>21</v>
      </c>
      <c r="I112">
        <v>50638.57</v>
      </c>
      <c r="J112">
        <v>65671.820000000007</v>
      </c>
      <c r="K112">
        <v>49717.29</v>
      </c>
      <c r="L112" t="str">
        <f t="shared" si="12"/>
        <v>Rahul</v>
      </c>
      <c r="M112" t="str">
        <f t="shared" si="13"/>
        <v>Unknown</v>
      </c>
      <c r="N112" t="str">
        <f t="shared" si="14"/>
        <v>Hyderabad</v>
      </c>
      <c r="O112" t="str">
        <f t="shared" si="15"/>
        <v>Enterprise</v>
      </c>
      <c r="P112" s="4" t="str">
        <f t="shared" si="16"/>
        <v>Online</v>
      </c>
      <c r="Q112">
        <f t="shared" si="17"/>
        <v>65671.820000000007</v>
      </c>
      <c r="R112" s="6">
        <f t="shared" si="18"/>
        <v>-15033.250000000007</v>
      </c>
      <c r="S112">
        <f t="shared" si="19"/>
        <v>-0.29687350965874448</v>
      </c>
      <c r="T112">
        <f t="shared" si="20"/>
        <v>1.0185303744431766</v>
      </c>
      <c r="U112">
        <f t="shared" si="21"/>
        <v>921.27999999999884</v>
      </c>
      <c r="V112" t="str">
        <f t="shared" si="22"/>
        <v>Unprofitable</v>
      </c>
      <c r="W112" t="str" cm="1">
        <f t="array" ref="W112">_xlfn.IFS(S112&lt;0,"Loss", S112&lt;0.15,"Low Margin",S112&lt;0.3,"Medium High", TRUE, "High Margin")</f>
        <v>Loss</v>
      </c>
      <c r="X112" t="str">
        <f t="shared" si="23"/>
        <v>07-2024</v>
      </c>
    </row>
    <row r="113" spans="1:24" x14ac:dyDescent="0.3">
      <c r="A113">
        <v>10217</v>
      </c>
      <c r="B113" s="1">
        <v>45301</v>
      </c>
      <c r="C113" t="s">
        <v>22</v>
      </c>
      <c r="D113" t="s">
        <v>12</v>
      </c>
      <c r="E113" t="s">
        <v>13</v>
      </c>
      <c r="G113" t="s">
        <v>20</v>
      </c>
      <c r="H113" t="s">
        <v>21</v>
      </c>
      <c r="I113">
        <v>69760.639999999999</v>
      </c>
      <c r="J113">
        <v>100825.77</v>
      </c>
      <c r="K113">
        <v>79601.429999999993</v>
      </c>
      <c r="L113" t="str">
        <f t="shared" si="12"/>
        <v>Amit</v>
      </c>
      <c r="M113" t="str">
        <f t="shared" si="13"/>
        <v>South</v>
      </c>
      <c r="N113" t="str">
        <f t="shared" si="14"/>
        <v>Bengaluru</v>
      </c>
      <c r="O113" t="str">
        <f t="shared" si="15"/>
        <v>Unknown</v>
      </c>
      <c r="P113" s="4" t="str">
        <f t="shared" si="16"/>
        <v>Online</v>
      </c>
      <c r="Q113">
        <f t="shared" si="17"/>
        <v>100825.77</v>
      </c>
      <c r="R113" s="6">
        <f t="shared" si="18"/>
        <v>-31065.130000000005</v>
      </c>
      <c r="S113">
        <f t="shared" si="19"/>
        <v>-0.44531027811671459</v>
      </c>
      <c r="T113">
        <f t="shared" si="20"/>
        <v>0.87637420584027204</v>
      </c>
      <c r="U113">
        <f t="shared" si="21"/>
        <v>-9840.7899999999936</v>
      </c>
      <c r="V113" t="str">
        <f t="shared" si="22"/>
        <v>Unprofitable</v>
      </c>
      <c r="W113" t="str" cm="1">
        <f t="array" ref="W113">_xlfn.IFS(S113&lt;0,"Loss", S113&lt;0.15,"Low Margin",S113&lt;0.3,"Medium High", TRUE, "High Margin")</f>
        <v>Loss</v>
      </c>
      <c r="X113" t="str">
        <f t="shared" si="23"/>
        <v>01-2024</v>
      </c>
    </row>
    <row r="114" spans="1:24" x14ac:dyDescent="0.3">
      <c r="A114">
        <v>10502</v>
      </c>
      <c r="B114" s="1">
        <v>45533</v>
      </c>
      <c r="C114" t="s">
        <v>36</v>
      </c>
      <c r="D114" t="s">
        <v>12</v>
      </c>
      <c r="E114" t="s">
        <v>13</v>
      </c>
      <c r="G114" t="s">
        <v>42</v>
      </c>
      <c r="H114" t="s">
        <v>21</v>
      </c>
      <c r="I114">
        <v>170824.08</v>
      </c>
      <c r="J114">
        <v>99102.44</v>
      </c>
      <c r="K114">
        <v>168580.89</v>
      </c>
      <c r="L114" t="str">
        <f t="shared" si="12"/>
        <v>Amit</v>
      </c>
      <c r="M114" t="str">
        <f t="shared" si="13"/>
        <v>South</v>
      </c>
      <c r="N114" t="str">
        <f t="shared" si="14"/>
        <v>Bengaluru</v>
      </c>
      <c r="O114" t="str">
        <f t="shared" si="15"/>
        <v>Unknown</v>
      </c>
      <c r="P114" s="4" t="str">
        <f t="shared" si="16"/>
        <v>Online</v>
      </c>
      <c r="Q114">
        <f t="shared" si="17"/>
        <v>99102.44</v>
      </c>
      <c r="R114" s="6">
        <f t="shared" si="18"/>
        <v>71721.639999999985</v>
      </c>
      <c r="S114">
        <f t="shared" si="19"/>
        <v>0.41985673214221314</v>
      </c>
      <c r="T114">
        <f t="shared" si="20"/>
        <v>1.0133063124770547</v>
      </c>
      <c r="U114">
        <f t="shared" si="21"/>
        <v>2243.1899999999732</v>
      </c>
      <c r="V114" t="str">
        <f t="shared" si="22"/>
        <v>Profitable</v>
      </c>
      <c r="W114" t="str" cm="1">
        <f t="array" ref="W114">_xlfn.IFS(S114&lt;0,"Loss", S114&lt;0.15,"Low Margin",S114&lt;0.3,"Medium High", TRUE, "High Margin")</f>
        <v>High Margin</v>
      </c>
      <c r="X114" t="str">
        <f t="shared" si="23"/>
        <v>08-2024</v>
      </c>
    </row>
    <row r="115" spans="1:24" x14ac:dyDescent="0.3">
      <c r="A115">
        <v>10397</v>
      </c>
      <c r="B115" s="1">
        <v>45542</v>
      </c>
      <c r="C115" t="s">
        <v>41</v>
      </c>
      <c r="E115" t="s">
        <v>13</v>
      </c>
      <c r="F115" t="s">
        <v>39</v>
      </c>
      <c r="G115" t="s">
        <v>40</v>
      </c>
      <c r="H115" t="s">
        <v>33</v>
      </c>
      <c r="I115">
        <v>147941.4</v>
      </c>
      <c r="J115">
        <v>101669.16</v>
      </c>
      <c r="K115">
        <v>29889.35</v>
      </c>
      <c r="L115" t="str">
        <f t="shared" si="12"/>
        <v>Neha</v>
      </c>
      <c r="M115" t="str">
        <f t="shared" si="13"/>
        <v>Unknown</v>
      </c>
      <c r="N115" t="str">
        <f t="shared" si="14"/>
        <v>Bengaluru</v>
      </c>
      <c r="O115" t="str">
        <f t="shared" si="15"/>
        <v>Enterprise</v>
      </c>
      <c r="P115" s="4" t="str">
        <f t="shared" si="16"/>
        <v>Partner</v>
      </c>
      <c r="Q115">
        <f t="shared" si="17"/>
        <v>101669.16</v>
      </c>
      <c r="R115" s="6">
        <f t="shared" si="18"/>
        <v>46272.239999999991</v>
      </c>
      <c r="S115">
        <f t="shared" si="19"/>
        <v>0.31277411191187859</v>
      </c>
      <c r="T115">
        <f t="shared" si="20"/>
        <v>4.9496359071040352</v>
      </c>
      <c r="U115">
        <f t="shared" si="21"/>
        <v>118052.04999999999</v>
      </c>
      <c r="V115" t="str">
        <f t="shared" si="22"/>
        <v>Profitable</v>
      </c>
      <c r="W115" t="str" cm="1">
        <f t="array" ref="W115">_xlfn.IFS(S115&lt;0,"Loss", S115&lt;0.15,"Low Margin",S115&lt;0.3,"Medium High", TRUE, "High Margin")</f>
        <v>High Margin</v>
      </c>
      <c r="X115" t="str">
        <f t="shared" si="23"/>
        <v>09-2024</v>
      </c>
    </row>
    <row r="116" spans="1:24" x14ac:dyDescent="0.3">
      <c r="A116">
        <v>10392</v>
      </c>
      <c r="B116" s="1">
        <v>45296</v>
      </c>
      <c r="C116" t="s">
        <v>45</v>
      </c>
      <c r="D116" t="s">
        <v>17</v>
      </c>
      <c r="F116" t="s">
        <v>19</v>
      </c>
      <c r="G116" t="s">
        <v>43</v>
      </c>
      <c r="H116" t="s">
        <v>33</v>
      </c>
      <c r="I116">
        <v>26316.66</v>
      </c>
      <c r="J116">
        <v>59756.08</v>
      </c>
      <c r="K116">
        <v>34777.68</v>
      </c>
      <c r="L116" t="str">
        <f t="shared" si="12"/>
        <v>Rahul</v>
      </c>
      <c r="M116" t="str">
        <f t="shared" si="13"/>
        <v>West</v>
      </c>
      <c r="N116" t="str">
        <f t="shared" si="14"/>
        <v>Unknown</v>
      </c>
      <c r="O116" t="str">
        <f t="shared" si="15"/>
        <v>Startup</v>
      </c>
      <c r="P116" s="4" t="str">
        <f t="shared" si="16"/>
        <v>Partner</v>
      </c>
      <c r="Q116">
        <f t="shared" si="17"/>
        <v>59756.08</v>
      </c>
      <c r="R116" s="6">
        <f t="shared" si="18"/>
        <v>-33439.42</v>
      </c>
      <c r="S116">
        <f t="shared" si="19"/>
        <v>-1.2706559267019446</v>
      </c>
      <c r="T116">
        <f t="shared" si="20"/>
        <v>0.75671120097717848</v>
      </c>
      <c r="U116">
        <f t="shared" si="21"/>
        <v>-8461.02</v>
      </c>
      <c r="V116" t="str">
        <f t="shared" si="22"/>
        <v>Unprofitable</v>
      </c>
      <c r="W116" t="str" cm="1">
        <f t="array" ref="W116">_xlfn.IFS(S116&lt;0,"Loss", S116&lt;0.15,"Low Margin",S116&lt;0.3,"Medium High", TRUE, "High Margin")</f>
        <v>Loss</v>
      </c>
      <c r="X116" t="str">
        <f t="shared" si="23"/>
        <v>01-2024</v>
      </c>
    </row>
    <row r="117" spans="1:24" x14ac:dyDescent="0.3">
      <c r="A117">
        <v>10206</v>
      </c>
      <c r="B117" s="1">
        <v>45410</v>
      </c>
      <c r="C117" t="s">
        <v>36</v>
      </c>
      <c r="D117" t="s">
        <v>37</v>
      </c>
      <c r="E117" t="s">
        <v>18</v>
      </c>
      <c r="F117" t="s">
        <v>39</v>
      </c>
      <c r="G117" t="s">
        <v>20</v>
      </c>
      <c r="I117">
        <v>90310.79</v>
      </c>
      <c r="J117">
        <v>42034.52</v>
      </c>
      <c r="K117">
        <v>46046.559999999998</v>
      </c>
      <c r="L117" t="str">
        <f t="shared" si="12"/>
        <v>Amit</v>
      </c>
      <c r="M117" t="str">
        <f t="shared" si="13"/>
        <v>North</v>
      </c>
      <c r="N117" t="str">
        <f t="shared" si="14"/>
        <v>Bengaluru</v>
      </c>
      <c r="O117" t="str">
        <f t="shared" si="15"/>
        <v>Enterprise</v>
      </c>
      <c r="P117" s="4" t="str">
        <f t="shared" si="16"/>
        <v>Unknown</v>
      </c>
      <c r="Q117">
        <f t="shared" si="17"/>
        <v>42034.52</v>
      </c>
      <c r="R117" s="6">
        <f t="shared" si="18"/>
        <v>48276.27</v>
      </c>
      <c r="S117">
        <f t="shared" si="19"/>
        <v>0.53455705569622414</v>
      </c>
      <c r="T117">
        <f t="shared" si="20"/>
        <v>1.9612928739953646</v>
      </c>
      <c r="U117">
        <f t="shared" si="21"/>
        <v>44264.229999999996</v>
      </c>
      <c r="V117" t="str">
        <f t="shared" si="22"/>
        <v>Profitable</v>
      </c>
      <c r="W117" t="str" cm="1">
        <f t="array" ref="W117">_xlfn.IFS(S117&lt;0,"Loss", S117&lt;0.15,"Low Margin",S117&lt;0.3,"Medium High", TRUE, "High Margin")</f>
        <v>High Margin</v>
      </c>
      <c r="X117" t="str">
        <f t="shared" si="23"/>
        <v>04-2024</v>
      </c>
    </row>
    <row r="118" spans="1:24" x14ac:dyDescent="0.3">
      <c r="A118">
        <v>10014</v>
      </c>
      <c r="B118" s="1">
        <v>45356</v>
      </c>
      <c r="D118" t="s">
        <v>34</v>
      </c>
      <c r="E118" t="s">
        <v>26</v>
      </c>
      <c r="G118" t="s">
        <v>20</v>
      </c>
      <c r="H118" t="s">
        <v>21</v>
      </c>
      <c r="I118">
        <v>13600.59</v>
      </c>
      <c r="J118">
        <v>95612.31</v>
      </c>
      <c r="K118">
        <v>115234.05</v>
      </c>
      <c r="L118" t="str">
        <f t="shared" si="12"/>
        <v>Unassigned</v>
      </c>
      <c r="M118" t="str">
        <f t="shared" si="13"/>
        <v>East</v>
      </c>
      <c r="N118" t="str">
        <f t="shared" si="14"/>
        <v>Mumbai</v>
      </c>
      <c r="O118" t="str">
        <f t="shared" si="15"/>
        <v>Unknown</v>
      </c>
      <c r="P118" s="4" t="str">
        <f t="shared" si="16"/>
        <v>Online</v>
      </c>
      <c r="Q118">
        <f t="shared" si="17"/>
        <v>95612.31</v>
      </c>
      <c r="R118" s="6">
        <f t="shared" si="18"/>
        <v>-82011.72</v>
      </c>
      <c r="S118">
        <f t="shared" si="19"/>
        <v>-6.0300119333058344</v>
      </c>
      <c r="T118">
        <f t="shared" si="20"/>
        <v>0.11802579185579262</v>
      </c>
      <c r="U118">
        <f t="shared" si="21"/>
        <v>-101633.46</v>
      </c>
      <c r="V118" t="str">
        <f t="shared" si="22"/>
        <v>Unprofitable</v>
      </c>
      <c r="W118" t="str" cm="1">
        <f t="array" ref="W118">_xlfn.IFS(S118&lt;0,"Loss", S118&lt;0.15,"Low Margin",S118&lt;0.3,"Medium High", TRUE, "High Margin")</f>
        <v>Loss</v>
      </c>
      <c r="X118" t="str">
        <f t="shared" si="23"/>
        <v>03-2024</v>
      </c>
    </row>
    <row r="119" spans="1:24" x14ac:dyDescent="0.3">
      <c r="A119">
        <v>10553</v>
      </c>
      <c r="B119" s="1">
        <v>45437</v>
      </c>
      <c r="C119" t="s">
        <v>11</v>
      </c>
      <c r="D119" t="s">
        <v>31</v>
      </c>
      <c r="E119" t="s">
        <v>35</v>
      </c>
      <c r="F119" t="s">
        <v>19</v>
      </c>
      <c r="G119" t="s">
        <v>42</v>
      </c>
      <c r="H119" t="s">
        <v>33</v>
      </c>
      <c r="I119">
        <v>100330.91</v>
      </c>
      <c r="J119">
        <v>55801.41</v>
      </c>
      <c r="K119">
        <v>44075.56</v>
      </c>
      <c r="L119" t="str">
        <f t="shared" si="12"/>
        <v>Rahul</v>
      </c>
      <c r="M119" t="str">
        <f t="shared" si="13"/>
        <v>South</v>
      </c>
      <c r="N119" t="str">
        <f t="shared" si="14"/>
        <v>Hyderabad</v>
      </c>
      <c r="O119" t="str">
        <f t="shared" si="15"/>
        <v>Startup</v>
      </c>
      <c r="P119" s="4" t="str">
        <f t="shared" si="16"/>
        <v>Partner</v>
      </c>
      <c r="Q119">
        <f t="shared" si="17"/>
        <v>55801.41</v>
      </c>
      <c r="R119" s="6">
        <f t="shared" si="18"/>
        <v>44529.5</v>
      </c>
      <c r="S119">
        <f t="shared" si="19"/>
        <v>0.44382633427724316</v>
      </c>
      <c r="T119">
        <f t="shared" si="20"/>
        <v>2.2763388599033116</v>
      </c>
      <c r="U119">
        <f t="shared" si="21"/>
        <v>56255.350000000006</v>
      </c>
      <c r="V119" t="str">
        <f t="shared" si="22"/>
        <v>Profitable</v>
      </c>
      <c r="W119" t="str" cm="1">
        <f t="array" ref="W119">_xlfn.IFS(S119&lt;0,"Loss", S119&lt;0.15,"Low Margin",S119&lt;0.3,"Medium High", TRUE, "High Margin")</f>
        <v>High Margin</v>
      </c>
      <c r="X119" t="str">
        <f t="shared" si="23"/>
        <v>05-2024</v>
      </c>
    </row>
    <row r="120" spans="1:24" x14ac:dyDescent="0.3">
      <c r="A120">
        <v>10460</v>
      </c>
      <c r="B120" s="1">
        <v>45515</v>
      </c>
      <c r="C120" t="s">
        <v>41</v>
      </c>
      <c r="D120" t="s">
        <v>34</v>
      </c>
      <c r="E120" t="s">
        <v>26</v>
      </c>
      <c r="F120" t="s">
        <v>19</v>
      </c>
      <c r="G120" t="s">
        <v>27</v>
      </c>
      <c r="H120" t="s">
        <v>28</v>
      </c>
      <c r="I120">
        <v>135187.32999999999</v>
      </c>
      <c r="K120">
        <v>174892.22</v>
      </c>
      <c r="L120" t="str">
        <f t="shared" si="12"/>
        <v>Neha</v>
      </c>
      <c r="M120" t="str">
        <f t="shared" si="13"/>
        <v>East</v>
      </c>
      <c r="N120" t="str">
        <f t="shared" si="14"/>
        <v>Mumbai</v>
      </c>
      <c r="O120" t="str">
        <f t="shared" si="15"/>
        <v>Startup</v>
      </c>
      <c r="P120" s="4" t="str">
        <f t="shared" si="16"/>
        <v>Direct</v>
      </c>
      <c r="Q120">
        <f t="shared" si="17"/>
        <v>0</v>
      </c>
      <c r="R120" s="6">
        <f t="shared" si="18"/>
        <v>135187.32999999999</v>
      </c>
      <c r="S120">
        <f t="shared" si="19"/>
        <v>1</v>
      </c>
      <c r="T120">
        <f t="shared" si="20"/>
        <v>0.77297509288863731</v>
      </c>
      <c r="U120">
        <f t="shared" si="21"/>
        <v>-39704.890000000014</v>
      </c>
      <c r="V120" t="str">
        <f t="shared" si="22"/>
        <v>Profitable</v>
      </c>
      <c r="W120" t="str" cm="1">
        <f t="array" ref="W120">_xlfn.IFS(S120&lt;0,"Loss", S120&lt;0.15,"Low Margin",S120&lt;0.3,"Medium High", TRUE, "High Margin")</f>
        <v>High Margin</v>
      </c>
      <c r="X120" t="str">
        <f t="shared" si="23"/>
        <v>08-2024</v>
      </c>
    </row>
    <row r="121" spans="1:24" x14ac:dyDescent="0.3">
      <c r="A121">
        <v>10574</v>
      </c>
      <c r="B121" s="1">
        <v>45530</v>
      </c>
      <c r="D121" t="s">
        <v>34</v>
      </c>
      <c r="F121" t="s">
        <v>39</v>
      </c>
      <c r="G121" t="s">
        <v>43</v>
      </c>
      <c r="I121">
        <v>30752.5</v>
      </c>
      <c r="J121">
        <v>103031.96</v>
      </c>
      <c r="K121">
        <v>91474.32</v>
      </c>
      <c r="L121" t="str">
        <f t="shared" si="12"/>
        <v>Unassigned</v>
      </c>
      <c r="M121" t="str">
        <f t="shared" si="13"/>
        <v>East</v>
      </c>
      <c r="N121" t="str">
        <f t="shared" si="14"/>
        <v>Unknown</v>
      </c>
      <c r="O121" t="str">
        <f t="shared" si="15"/>
        <v>Enterprise</v>
      </c>
      <c r="P121" s="4" t="str">
        <f t="shared" si="16"/>
        <v>Unknown</v>
      </c>
      <c r="Q121">
        <f t="shared" si="17"/>
        <v>103031.96</v>
      </c>
      <c r="R121" s="6">
        <f t="shared" si="18"/>
        <v>-72279.460000000006</v>
      </c>
      <c r="S121">
        <f t="shared" si="19"/>
        <v>-2.3503604584993094</v>
      </c>
      <c r="T121">
        <f t="shared" si="20"/>
        <v>0.33618724905525393</v>
      </c>
      <c r="U121">
        <f t="shared" si="21"/>
        <v>-60721.820000000007</v>
      </c>
      <c r="V121" t="str">
        <f t="shared" si="22"/>
        <v>Unprofitable</v>
      </c>
      <c r="W121" t="str" cm="1">
        <f t="array" ref="W121">_xlfn.IFS(S121&lt;0,"Loss", S121&lt;0.15,"Low Margin",S121&lt;0.3,"Medium High", TRUE, "High Margin")</f>
        <v>Loss</v>
      </c>
      <c r="X121" t="str">
        <f t="shared" si="23"/>
        <v>08-2024</v>
      </c>
    </row>
    <row r="122" spans="1:24" x14ac:dyDescent="0.3">
      <c r="A122">
        <v>10240</v>
      </c>
      <c r="B122" s="1">
        <v>45468</v>
      </c>
      <c r="C122" t="s">
        <v>22</v>
      </c>
      <c r="D122" t="s">
        <v>23</v>
      </c>
      <c r="E122" t="s">
        <v>24</v>
      </c>
      <c r="G122" t="s">
        <v>15</v>
      </c>
      <c r="H122" t="s">
        <v>16</v>
      </c>
      <c r="I122">
        <v>63465.91</v>
      </c>
      <c r="J122">
        <v>106259.51</v>
      </c>
      <c r="K122">
        <v>100242.87</v>
      </c>
      <c r="L122" t="str">
        <f t="shared" si="12"/>
        <v>Amit</v>
      </c>
      <c r="M122" t="str">
        <f t="shared" si="13"/>
        <v>West</v>
      </c>
      <c r="N122" t="str">
        <f t="shared" si="14"/>
        <v>Chennai</v>
      </c>
      <c r="O122" t="str">
        <f t="shared" si="15"/>
        <v>Unknown</v>
      </c>
      <c r="P122" s="4" t="str">
        <f t="shared" si="16"/>
        <v>direct</v>
      </c>
      <c r="Q122">
        <f t="shared" si="17"/>
        <v>106259.51</v>
      </c>
      <c r="R122" s="6">
        <f t="shared" si="18"/>
        <v>-42793.599999999991</v>
      </c>
      <c r="S122">
        <f t="shared" si="19"/>
        <v>-0.67427694647409908</v>
      </c>
      <c r="T122">
        <f t="shared" si="20"/>
        <v>0.63312143796361786</v>
      </c>
      <c r="U122">
        <f t="shared" si="21"/>
        <v>-36776.959999999992</v>
      </c>
      <c r="V122" t="str">
        <f t="shared" si="22"/>
        <v>Unprofitable</v>
      </c>
      <c r="W122" t="str" cm="1">
        <f t="array" ref="W122">_xlfn.IFS(S122&lt;0,"Loss", S122&lt;0.15,"Low Margin",S122&lt;0.3,"Medium High", TRUE, "High Margin")</f>
        <v>Loss</v>
      </c>
      <c r="X122" t="str">
        <f t="shared" si="23"/>
        <v>06-2024</v>
      </c>
    </row>
    <row r="123" spans="1:24" x14ac:dyDescent="0.3">
      <c r="A123">
        <v>10563</v>
      </c>
      <c r="B123" s="1">
        <v>45558</v>
      </c>
      <c r="D123" t="s">
        <v>37</v>
      </c>
      <c r="E123" t="s">
        <v>24</v>
      </c>
      <c r="F123" t="s">
        <v>14</v>
      </c>
      <c r="G123" t="s">
        <v>40</v>
      </c>
      <c r="I123">
        <v>84384.63</v>
      </c>
      <c r="J123">
        <v>57558.239999999998</v>
      </c>
      <c r="K123">
        <v>59465.38</v>
      </c>
      <c r="L123" t="str">
        <f t="shared" si="12"/>
        <v>Unassigned</v>
      </c>
      <c r="M123" t="str">
        <f t="shared" si="13"/>
        <v>North</v>
      </c>
      <c r="N123" t="str">
        <f t="shared" si="14"/>
        <v>Chennai</v>
      </c>
      <c r="O123" t="str">
        <f t="shared" si="15"/>
        <v>Enterprise</v>
      </c>
      <c r="P123" s="4" t="str">
        <f t="shared" si="16"/>
        <v>Unknown</v>
      </c>
      <c r="Q123">
        <f t="shared" si="17"/>
        <v>57558.239999999998</v>
      </c>
      <c r="R123" s="6">
        <f t="shared" si="18"/>
        <v>26826.390000000007</v>
      </c>
      <c r="S123">
        <f t="shared" si="19"/>
        <v>0.31790611631525795</v>
      </c>
      <c r="T123">
        <f t="shared" si="20"/>
        <v>1.4190547508483089</v>
      </c>
      <c r="U123">
        <f t="shared" si="21"/>
        <v>24919.250000000007</v>
      </c>
      <c r="V123" t="str">
        <f t="shared" si="22"/>
        <v>Profitable</v>
      </c>
      <c r="W123" t="str" cm="1">
        <f t="array" ref="W123">_xlfn.IFS(S123&lt;0,"Loss", S123&lt;0.15,"Low Margin",S123&lt;0.3,"Medium High", TRUE, "High Margin")</f>
        <v>High Margin</v>
      </c>
      <c r="X123" t="str">
        <f t="shared" si="23"/>
        <v>09-2024</v>
      </c>
    </row>
    <row r="124" spans="1:24" x14ac:dyDescent="0.3">
      <c r="A124">
        <v>10095</v>
      </c>
      <c r="B124" s="1">
        <v>45354</v>
      </c>
      <c r="C124" t="s">
        <v>29</v>
      </c>
      <c r="D124" t="s">
        <v>23</v>
      </c>
      <c r="E124" t="s">
        <v>24</v>
      </c>
      <c r="G124" t="s">
        <v>20</v>
      </c>
      <c r="H124" t="s">
        <v>16</v>
      </c>
      <c r="I124">
        <v>184549.96</v>
      </c>
      <c r="J124">
        <v>11856.87</v>
      </c>
      <c r="K124">
        <v>95353.64</v>
      </c>
      <c r="L124" t="str">
        <f t="shared" si="12"/>
        <v>Sneha</v>
      </c>
      <c r="M124" t="str">
        <f t="shared" si="13"/>
        <v>West</v>
      </c>
      <c r="N124" t="str">
        <f t="shared" si="14"/>
        <v>Chennai</v>
      </c>
      <c r="O124" t="str">
        <f t="shared" si="15"/>
        <v>Unknown</v>
      </c>
      <c r="P124" s="4" t="str">
        <f t="shared" si="16"/>
        <v>direct</v>
      </c>
      <c r="Q124">
        <f t="shared" si="17"/>
        <v>11856.87</v>
      </c>
      <c r="R124" s="6">
        <f t="shared" si="18"/>
        <v>172693.09</v>
      </c>
      <c r="S124">
        <f t="shared" si="19"/>
        <v>0.93575251926361835</v>
      </c>
      <c r="T124">
        <f t="shared" si="20"/>
        <v>1.9354264818836491</v>
      </c>
      <c r="U124">
        <f t="shared" si="21"/>
        <v>89196.319999999992</v>
      </c>
      <c r="V124" t="str">
        <f t="shared" si="22"/>
        <v>Profitable</v>
      </c>
      <c r="W124" t="str" cm="1">
        <f t="array" ref="W124">_xlfn.IFS(S124&lt;0,"Loss", S124&lt;0.15,"Low Margin",S124&lt;0.3,"Medium High", TRUE, "High Margin")</f>
        <v>High Margin</v>
      </c>
      <c r="X124" t="str">
        <f t="shared" si="23"/>
        <v>03-2024</v>
      </c>
    </row>
    <row r="125" spans="1:24" x14ac:dyDescent="0.3">
      <c r="A125">
        <v>10484</v>
      </c>
      <c r="B125" s="1">
        <v>45508</v>
      </c>
      <c r="C125" t="s">
        <v>29</v>
      </c>
      <c r="D125" t="s">
        <v>37</v>
      </c>
      <c r="E125" t="s">
        <v>44</v>
      </c>
      <c r="F125" t="s">
        <v>32</v>
      </c>
      <c r="G125" t="s">
        <v>20</v>
      </c>
      <c r="H125" t="s">
        <v>21</v>
      </c>
      <c r="I125">
        <v>198704.96</v>
      </c>
      <c r="J125">
        <v>48375.65</v>
      </c>
      <c r="L125" t="str">
        <f t="shared" si="12"/>
        <v>Sneha</v>
      </c>
      <c r="M125" t="str">
        <f t="shared" si="13"/>
        <v>North</v>
      </c>
      <c r="N125" t="str">
        <f t="shared" si="14"/>
        <v>Pune</v>
      </c>
      <c r="O125" t="str">
        <f t="shared" si="15"/>
        <v>Smb</v>
      </c>
      <c r="P125" s="4" t="str">
        <f t="shared" si="16"/>
        <v>Online</v>
      </c>
      <c r="Q125">
        <f t="shared" si="17"/>
        <v>48375.65</v>
      </c>
      <c r="R125" s="6">
        <f t="shared" si="18"/>
        <v>150329.31</v>
      </c>
      <c r="S125">
        <f t="shared" si="19"/>
        <v>0.75654533233594168</v>
      </c>
      <c r="T125">
        <f t="shared" si="20"/>
        <v>0</v>
      </c>
      <c r="U125">
        <f t="shared" si="21"/>
        <v>198704.96</v>
      </c>
      <c r="V125" t="str">
        <f t="shared" si="22"/>
        <v>Profitable</v>
      </c>
      <c r="W125" t="str" cm="1">
        <f t="array" ref="W125">_xlfn.IFS(S125&lt;0,"Loss", S125&lt;0.15,"Low Margin",S125&lt;0.3,"Medium High", TRUE, "High Margin")</f>
        <v>High Margin</v>
      </c>
      <c r="X125" t="str">
        <f t="shared" si="23"/>
        <v>08-2024</v>
      </c>
    </row>
    <row r="126" spans="1:24" x14ac:dyDescent="0.3">
      <c r="A126">
        <v>10406</v>
      </c>
      <c r="B126" s="1">
        <v>45468</v>
      </c>
      <c r="C126" t="s">
        <v>25</v>
      </c>
      <c r="E126" t="s">
        <v>13</v>
      </c>
      <c r="F126" t="s">
        <v>14</v>
      </c>
      <c r="G126" t="s">
        <v>15</v>
      </c>
      <c r="H126" t="s">
        <v>16</v>
      </c>
      <c r="I126">
        <v>16622.97</v>
      </c>
      <c r="J126">
        <v>97013.91</v>
      </c>
      <c r="K126">
        <v>140188.34</v>
      </c>
      <c r="L126" t="str">
        <f t="shared" si="12"/>
        <v>Priya</v>
      </c>
      <c r="M126" t="str">
        <f t="shared" si="13"/>
        <v>Unknown</v>
      </c>
      <c r="N126" t="str">
        <f t="shared" si="14"/>
        <v>Bengaluru</v>
      </c>
      <c r="O126" t="str">
        <f t="shared" si="15"/>
        <v>Enterprise</v>
      </c>
      <c r="P126" s="4" t="str">
        <f t="shared" si="16"/>
        <v>direct</v>
      </c>
      <c r="Q126">
        <f t="shared" si="17"/>
        <v>97013.91</v>
      </c>
      <c r="R126" s="6">
        <f t="shared" si="18"/>
        <v>-80390.94</v>
      </c>
      <c r="S126">
        <f t="shared" si="19"/>
        <v>-4.8361357807900749</v>
      </c>
      <c r="T126">
        <f t="shared" si="20"/>
        <v>0.11857598142613003</v>
      </c>
      <c r="U126">
        <f t="shared" si="21"/>
        <v>-123565.37</v>
      </c>
      <c r="V126" t="str">
        <f t="shared" si="22"/>
        <v>Unprofitable</v>
      </c>
      <c r="W126" t="str" cm="1">
        <f t="array" ref="W126">_xlfn.IFS(S126&lt;0,"Loss", S126&lt;0.15,"Low Margin",S126&lt;0.3,"Medium High", TRUE, "High Margin")</f>
        <v>Loss</v>
      </c>
      <c r="X126" t="str">
        <f t="shared" si="23"/>
        <v>06-2024</v>
      </c>
    </row>
    <row r="127" spans="1:24" x14ac:dyDescent="0.3">
      <c r="A127">
        <v>10230</v>
      </c>
      <c r="B127" s="1">
        <v>45389</v>
      </c>
      <c r="C127" t="s">
        <v>41</v>
      </c>
      <c r="E127" t="s">
        <v>44</v>
      </c>
      <c r="F127" t="s">
        <v>19</v>
      </c>
      <c r="G127" t="s">
        <v>43</v>
      </c>
      <c r="H127" t="s">
        <v>21</v>
      </c>
      <c r="I127">
        <v>154113.51999999999</v>
      </c>
      <c r="K127">
        <v>140618.89000000001</v>
      </c>
      <c r="L127" t="str">
        <f t="shared" si="12"/>
        <v>Neha</v>
      </c>
      <c r="M127" t="str">
        <f t="shared" si="13"/>
        <v>Unknown</v>
      </c>
      <c r="N127" t="str">
        <f t="shared" si="14"/>
        <v>Pune</v>
      </c>
      <c r="O127" t="str">
        <f t="shared" si="15"/>
        <v>Startup</v>
      </c>
      <c r="P127" s="4" t="str">
        <f t="shared" si="16"/>
        <v>Online</v>
      </c>
      <c r="Q127">
        <f t="shared" si="17"/>
        <v>0</v>
      </c>
      <c r="R127" s="6">
        <f t="shared" si="18"/>
        <v>154113.51999999999</v>
      </c>
      <c r="S127">
        <f t="shared" si="19"/>
        <v>1</v>
      </c>
      <c r="T127">
        <f t="shared" si="20"/>
        <v>1.0959659829486634</v>
      </c>
      <c r="U127">
        <f t="shared" si="21"/>
        <v>13494.629999999976</v>
      </c>
      <c r="V127" t="str">
        <f t="shared" si="22"/>
        <v>Profitable</v>
      </c>
      <c r="W127" t="str" cm="1">
        <f t="array" ref="W127">_xlfn.IFS(S127&lt;0,"Loss", S127&lt;0.15,"Low Margin",S127&lt;0.3,"Medium High", TRUE, "High Margin")</f>
        <v>High Margin</v>
      </c>
      <c r="X127" t="str">
        <f t="shared" si="23"/>
        <v>04-2024</v>
      </c>
    </row>
    <row r="128" spans="1:24" x14ac:dyDescent="0.3">
      <c r="A128">
        <v>10170</v>
      </c>
      <c r="B128" s="1">
        <v>45396</v>
      </c>
      <c r="C128" t="s">
        <v>22</v>
      </c>
      <c r="D128" t="s">
        <v>37</v>
      </c>
      <c r="E128" t="s">
        <v>18</v>
      </c>
      <c r="F128" t="s">
        <v>14</v>
      </c>
      <c r="G128" t="s">
        <v>27</v>
      </c>
      <c r="H128" t="s">
        <v>28</v>
      </c>
      <c r="I128">
        <v>79371.02</v>
      </c>
      <c r="J128">
        <v>26806.31</v>
      </c>
      <c r="K128">
        <v>112462.58</v>
      </c>
      <c r="L128" t="str">
        <f t="shared" si="12"/>
        <v>Amit</v>
      </c>
      <c r="M128" t="str">
        <f t="shared" si="13"/>
        <v>North</v>
      </c>
      <c r="N128" t="str">
        <f t="shared" si="14"/>
        <v>Bengaluru</v>
      </c>
      <c r="O128" t="str">
        <f t="shared" si="15"/>
        <v>Enterprise</v>
      </c>
      <c r="P128" s="4" t="str">
        <f t="shared" si="16"/>
        <v>Direct</v>
      </c>
      <c r="Q128">
        <f t="shared" si="17"/>
        <v>26806.31</v>
      </c>
      <c r="R128" s="6">
        <f t="shared" si="18"/>
        <v>52564.710000000006</v>
      </c>
      <c r="S128">
        <f t="shared" si="19"/>
        <v>0.66226577408227849</v>
      </c>
      <c r="T128">
        <f t="shared" si="20"/>
        <v>0.70575492755012381</v>
      </c>
      <c r="U128">
        <f t="shared" si="21"/>
        <v>-33091.56</v>
      </c>
      <c r="V128" t="str">
        <f t="shared" si="22"/>
        <v>Profitable</v>
      </c>
      <c r="W128" t="str" cm="1">
        <f t="array" ref="W128">_xlfn.IFS(S128&lt;0,"Loss", S128&lt;0.15,"Low Margin",S128&lt;0.3,"Medium High", TRUE, "High Margin")</f>
        <v>High Margin</v>
      </c>
      <c r="X128" t="str">
        <f t="shared" si="23"/>
        <v>04-2024</v>
      </c>
    </row>
    <row r="129" spans="1:24" x14ac:dyDescent="0.3">
      <c r="A129">
        <v>10540</v>
      </c>
      <c r="B129" s="1">
        <v>45390</v>
      </c>
      <c r="C129" t="s">
        <v>30</v>
      </c>
      <c r="D129" t="s">
        <v>12</v>
      </c>
      <c r="E129" t="s">
        <v>24</v>
      </c>
      <c r="F129" t="s">
        <v>19</v>
      </c>
      <c r="G129" t="s">
        <v>20</v>
      </c>
      <c r="H129" t="s">
        <v>16</v>
      </c>
      <c r="I129">
        <v>83351.97</v>
      </c>
      <c r="J129">
        <v>10835.91</v>
      </c>
      <c r="K129">
        <v>164697.56</v>
      </c>
      <c r="L129" t="str">
        <f t="shared" si="12"/>
        <v>Ankit</v>
      </c>
      <c r="M129" t="str">
        <f t="shared" si="13"/>
        <v>South</v>
      </c>
      <c r="N129" t="str">
        <f t="shared" si="14"/>
        <v>Chennai</v>
      </c>
      <c r="O129" t="str">
        <f t="shared" si="15"/>
        <v>Startup</v>
      </c>
      <c r="P129" s="4" t="str">
        <f t="shared" si="16"/>
        <v>direct</v>
      </c>
      <c r="Q129">
        <f t="shared" si="17"/>
        <v>10835.91</v>
      </c>
      <c r="R129" s="6">
        <f t="shared" si="18"/>
        <v>72516.06</v>
      </c>
      <c r="S129">
        <f t="shared" si="19"/>
        <v>0.86999815361292598</v>
      </c>
      <c r="T129">
        <f t="shared" si="20"/>
        <v>0.50609110420336523</v>
      </c>
      <c r="U129">
        <f t="shared" si="21"/>
        <v>-81345.59</v>
      </c>
      <c r="V129" t="str">
        <f t="shared" si="22"/>
        <v>Profitable</v>
      </c>
      <c r="W129" t="str" cm="1">
        <f t="array" ref="W129">_xlfn.IFS(S129&lt;0,"Loss", S129&lt;0.15,"Low Margin",S129&lt;0.3,"Medium High", TRUE, "High Margin")</f>
        <v>High Margin</v>
      </c>
      <c r="X129" t="str">
        <f t="shared" si="23"/>
        <v>04-2024</v>
      </c>
    </row>
    <row r="130" spans="1:24" x14ac:dyDescent="0.3">
      <c r="A130">
        <v>10035</v>
      </c>
      <c r="B130" s="1">
        <v>45297</v>
      </c>
      <c r="C130" t="s">
        <v>29</v>
      </c>
      <c r="D130" t="s">
        <v>17</v>
      </c>
      <c r="F130" t="s">
        <v>19</v>
      </c>
      <c r="G130" t="s">
        <v>43</v>
      </c>
      <c r="I130">
        <v>152818.87</v>
      </c>
      <c r="J130">
        <v>105650</v>
      </c>
      <c r="K130">
        <v>150785.26</v>
      </c>
      <c r="L130" t="str">
        <f t="shared" si="12"/>
        <v>Sneha</v>
      </c>
      <c r="M130" t="str">
        <f t="shared" si="13"/>
        <v>West</v>
      </c>
      <c r="N130" t="str">
        <f t="shared" si="14"/>
        <v>Unknown</v>
      </c>
      <c r="O130" t="str">
        <f t="shared" si="15"/>
        <v>Startup</v>
      </c>
      <c r="P130" s="4" t="str">
        <f t="shared" si="16"/>
        <v>Unknown</v>
      </c>
      <c r="Q130">
        <f t="shared" si="17"/>
        <v>105650</v>
      </c>
      <c r="R130" s="6">
        <f t="shared" si="18"/>
        <v>47168.869999999995</v>
      </c>
      <c r="S130">
        <f t="shared" si="19"/>
        <v>0.30865867546331155</v>
      </c>
      <c r="T130">
        <f t="shared" si="20"/>
        <v>1.0134867957252585</v>
      </c>
      <c r="U130">
        <f t="shared" si="21"/>
        <v>2033.609999999986</v>
      </c>
      <c r="V130" t="str">
        <f t="shared" si="22"/>
        <v>Profitable</v>
      </c>
      <c r="W130" t="str" cm="1">
        <f t="array" ref="W130">_xlfn.IFS(S130&lt;0,"Loss", S130&lt;0.15,"Low Margin",S130&lt;0.3,"Medium High", TRUE, "High Margin")</f>
        <v>High Margin</v>
      </c>
      <c r="X130" t="str">
        <f t="shared" si="23"/>
        <v>01-2024</v>
      </c>
    </row>
    <row r="131" spans="1:24" x14ac:dyDescent="0.3">
      <c r="A131">
        <v>10524</v>
      </c>
      <c r="B131" s="1">
        <v>45488</v>
      </c>
      <c r="C131" t="s">
        <v>41</v>
      </c>
      <c r="D131" t="s">
        <v>12</v>
      </c>
      <c r="E131" t="s">
        <v>35</v>
      </c>
      <c r="F131" t="s">
        <v>14</v>
      </c>
      <c r="G131" t="s">
        <v>15</v>
      </c>
      <c r="H131" t="s">
        <v>21</v>
      </c>
      <c r="I131">
        <v>184337.87</v>
      </c>
      <c r="J131">
        <v>48560.38</v>
      </c>
      <c r="K131">
        <v>141127.70000000001</v>
      </c>
      <c r="L131" t="str">
        <f t="shared" ref="L131:L194" si="24">IF(TRIM(C131)="","Unassigned", PROPER(TRIM(C131)))</f>
        <v>Neha</v>
      </c>
      <c r="M131" t="str">
        <f t="shared" ref="M131:M194" si="25">IF(TRIM(D131)="","Unknown",PROPER(TRIM(D131)))</f>
        <v>South</v>
      </c>
      <c r="N131" t="str">
        <f t="shared" ref="N131:N194" si="26">IF(TRIM(E131)="","Unknown", PROPER(TRIM(E131)))</f>
        <v>Hyderabad</v>
      </c>
      <c r="O131" t="str">
        <f t="shared" ref="O131:O194" si="27">IF(TRIM(F131)="","Unknown",PROPER(TRIM(F131)))</f>
        <v>Enterprise</v>
      </c>
      <c r="P131" s="4" t="str">
        <f t="shared" ref="P131:P194" si="28">IF(TRIM(H131)="","Unknown",TRIM(H131))</f>
        <v>Online</v>
      </c>
      <c r="Q131">
        <f t="shared" ref="Q131:Q194" si="29">IFERROR(J131,0)</f>
        <v>48560.38</v>
      </c>
      <c r="R131" s="6">
        <f t="shared" ref="R131:R194" si="30">I131-Q131</f>
        <v>135777.49</v>
      </c>
      <c r="S131">
        <f t="shared" ref="S131:S194" si="31">IFERROR(R131/I131,0)</f>
        <v>0.73656861718104905</v>
      </c>
      <c r="T131">
        <f t="shared" ref="T131:T194" si="32">IFERROR(I131/K131,0)</f>
        <v>1.3061778091756613</v>
      </c>
      <c r="U131">
        <f t="shared" ref="U131:U194" si="33">I131-K131</f>
        <v>43210.169999999984</v>
      </c>
      <c r="V131" t="str">
        <f t="shared" ref="V131:V194" si="34">IF(R131&lt;0,"Unprofitable","Profitable")</f>
        <v>Profitable</v>
      </c>
      <c r="W131" t="str" cm="1">
        <f t="array" ref="W131">_xlfn.IFS(S131&lt;0,"Loss", S131&lt;0.15,"Low Margin",S131&lt;0.3,"Medium High", TRUE, "High Margin")</f>
        <v>High Margin</v>
      </c>
      <c r="X131" t="str">
        <f t="shared" ref="X131:X194" si="35">TEXT(B131,"MM-YYYY")</f>
        <v>07-2024</v>
      </c>
    </row>
    <row r="132" spans="1:24" x14ac:dyDescent="0.3">
      <c r="A132">
        <v>10159</v>
      </c>
      <c r="B132" s="1">
        <v>45424</v>
      </c>
      <c r="C132" t="s">
        <v>30</v>
      </c>
      <c r="D132" t="s">
        <v>17</v>
      </c>
      <c r="E132" t="s">
        <v>26</v>
      </c>
      <c r="F132" t="s">
        <v>19</v>
      </c>
      <c r="G132" t="s">
        <v>42</v>
      </c>
      <c r="I132">
        <v>190578.29</v>
      </c>
      <c r="J132">
        <v>66386.03</v>
      </c>
      <c r="K132">
        <v>28896.880000000001</v>
      </c>
      <c r="L132" t="str">
        <f t="shared" si="24"/>
        <v>Ankit</v>
      </c>
      <c r="M132" t="str">
        <f t="shared" si="25"/>
        <v>West</v>
      </c>
      <c r="N132" t="str">
        <f t="shared" si="26"/>
        <v>Mumbai</v>
      </c>
      <c r="O132" t="str">
        <f t="shared" si="27"/>
        <v>Startup</v>
      </c>
      <c r="P132" s="4" t="str">
        <f t="shared" si="28"/>
        <v>Unknown</v>
      </c>
      <c r="Q132">
        <f t="shared" si="29"/>
        <v>66386.03</v>
      </c>
      <c r="R132" s="6">
        <f t="shared" si="30"/>
        <v>124192.26000000001</v>
      </c>
      <c r="S132">
        <f t="shared" si="31"/>
        <v>0.65166006054519643</v>
      </c>
      <c r="T132">
        <f t="shared" si="32"/>
        <v>6.5951164970059049</v>
      </c>
      <c r="U132">
        <f t="shared" si="33"/>
        <v>161681.41</v>
      </c>
      <c r="V132" t="str">
        <f t="shared" si="34"/>
        <v>Profitable</v>
      </c>
      <c r="W132" t="str" cm="1">
        <f t="array" ref="W132">_xlfn.IFS(S132&lt;0,"Loss", S132&lt;0.15,"Low Margin",S132&lt;0.3,"Medium High", TRUE, "High Margin")</f>
        <v>High Margin</v>
      </c>
      <c r="X132" t="str">
        <f t="shared" si="35"/>
        <v>05-2024</v>
      </c>
    </row>
    <row r="133" spans="1:24" x14ac:dyDescent="0.3">
      <c r="A133">
        <v>10242</v>
      </c>
      <c r="B133" s="1">
        <v>45550</v>
      </c>
      <c r="C133" t="s">
        <v>25</v>
      </c>
      <c r="D133" t="s">
        <v>23</v>
      </c>
      <c r="E133" t="s">
        <v>13</v>
      </c>
      <c r="F133" t="s">
        <v>19</v>
      </c>
      <c r="G133" t="s">
        <v>27</v>
      </c>
      <c r="H133" t="s">
        <v>33</v>
      </c>
      <c r="I133">
        <v>118807.54</v>
      </c>
      <c r="J133">
        <v>116263.7</v>
      </c>
      <c r="K133">
        <v>21100.47</v>
      </c>
      <c r="L133" t="str">
        <f t="shared" si="24"/>
        <v>Priya</v>
      </c>
      <c r="M133" t="str">
        <f t="shared" si="25"/>
        <v>West</v>
      </c>
      <c r="N133" t="str">
        <f t="shared" si="26"/>
        <v>Bengaluru</v>
      </c>
      <c r="O133" t="str">
        <f t="shared" si="27"/>
        <v>Startup</v>
      </c>
      <c r="P133" s="4" t="str">
        <f t="shared" si="28"/>
        <v>Partner</v>
      </c>
      <c r="Q133">
        <f t="shared" si="29"/>
        <v>116263.7</v>
      </c>
      <c r="R133" s="6">
        <f t="shared" si="30"/>
        <v>2543.8399999999965</v>
      </c>
      <c r="S133">
        <f t="shared" si="31"/>
        <v>2.1411435671507016E-2</v>
      </c>
      <c r="T133">
        <f t="shared" si="32"/>
        <v>5.6305636793872358</v>
      </c>
      <c r="U133">
        <f t="shared" si="33"/>
        <v>97707.069999999992</v>
      </c>
      <c r="V133" t="str">
        <f t="shared" si="34"/>
        <v>Profitable</v>
      </c>
      <c r="W133" t="str" cm="1">
        <f t="array" ref="W133">_xlfn.IFS(S133&lt;0,"Loss", S133&lt;0.15,"Low Margin",S133&lt;0.3,"Medium High", TRUE, "High Margin")</f>
        <v>Low Margin</v>
      </c>
      <c r="X133" t="str">
        <f t="shared" si="35"/>
        <v>09-2024</v>
      </c>
    </row>
    <row r="134" spans="1:24" x14ac:dyDescent="0.3">
      <c r="A134">
        <v>10085</v>
      </c>
      <c r="B134" s="1">
        <v>45314</v>
      </c>
      <c r="D134" t="s">
        <v>17</v>
      </c>
      <c r="E134" t="s">
        <v>38</v>
      </c>
      <c r="F134" t="s">
        <v>32</v>
      </c>
      <c r="G134" t="s">
        <v>40</v>
      </c>
      <c r="H134" t="s">
        <v>21</v>
      </c>
      <c r="I134">
        <v>76567.259999999995</v>
      </c>
      <c r="J134">
        <v>10788.07</v>
      </c>
      <c r="K134">
        <v>53991.56</v>
      </c>
      <c r="L134" t="str">
        <f t="shared" si="24"/>
        <v>Unassigned</v>
      </c>
      <c r="M134" t="str">
        <f t="shared" si="25"/>
        <v>West</v>
      </c>
      <c r="N134" t="str">
        <f t="shared" si="26"/>
        <v>Delhi</v>
      </c>
      <c r="O134" t="str">
        <f t="shared" si="27"/>
        <v>Smb</v>
      </c>
      <c r="P134" s="4" t="str">
        <f t="shared" si="28"/>
        <v>Online</v>
      </c>
      <c r="Q134">
        <f t="shared" si="29"/>
        <v>10788.07</v>
      </c>
      <c r="R134" s="6">
        <f t="shared" si="30"/>
        <v>65779.19</v>
      </c>
      <c r="S134">
        <f t="shared" si="31"/>
        <v>0.85910335566402674</v>
      </c>
      <c r="T134">
        <f t="shared" si="32"/>
        <v>1.4181338712939577</v>
      </c>
      <c r="U134">
        <f t="shared" si="33"/>
        <v>22575.699999999997</v>
      </c>
      <c r="V134" t="str">
        <f t="shared" si="34"/>
        <v>Profitable</v>
      </c>
      <c r="W134" t="str" cm="1">
        <f t="array" ref="W134">_xlfn.IFS(S134&lt;0,"Loss", S134&lt;0.15,"Low Margin",S134&lt;0.3,"Medium High", TRUE, "High Margin")</f>
        <v>High Margin</v>
      </c>
      <c r="X134" t="str">
        <f t="shared" si="35"/>
        <v>01-2024</v>
      </c>
    </row>
    <row r="135" spans="1:24" x14ac:dyDescent="0.3">
      <c r="A135">
        <v>10577</v>
      </c>
      <c r="B135" s="1">
        <v>45344</v>
      </c>
      <c r="C135" t="s">
        <v>29</v>
      </c>
      <c r="D135" t="s">
        <v>23</v>
      </c>
      <c r="E135" t="s">
        <v>35</v>
      </c>
      <c r="G135" t="s">
        <v>20</v>
      </c>
      <c r="H135" t="s">
        <v>16</v>
      </c>
      <c r="I135">
        <v>159209.42000000001</v>
      </c>
      <c r="J135">
        <v>78853.210000000006</v>
      </c>
      <c r="K135">
        <v>126163.78</v>
      </c>
      <c r="L135" t="str">
        <f t="shared" si="24"/>
        <v>Sneha</v>
      </c>
      <c r="M135" t="str">
        <f t="shared" si="25"/>
        <v>West</v>
      </c>
      <c r="N135" t="str">
        <f t="shared" si="26"/>
        <v>Hyderabad</v>
      </c>
      <c r="O135" t="str">
        <f t="shared" si="27"/>
        <v>Unknown</v>
      </c>
      <c r="P135" s="4" t="str">
        <f t="shared" si="28"/>
        <v>direct</v>
      </c>
      <c r="Q135">
        <f t="shared" si="29"/>
        <v>78853.210000000006</v>
      </c>
      <c r="R135" s="6">
        <f t="shared" si="30"/>
        <v>80356.210000000006</v>
      </c>
      <c r="S135">
        <f t="shared" si="31"/>
        <v>0.50472019808878144</v>
      </c>
      <c r="T135">
        <f t="shared" si="32"/>
        <v>1.2619265212250299</v>
      </c>
      <c r="U135">
        <f t="shared" si="33"/>
        <v>33045.640000000014</v>
      </c>
      <c r="V135" t="str">
        <f t="shared" si="34"/>
        <v>Profitable</v>
      </c>
      <c r="W135" t="str" cm="1">
        <f t="array" ref="W135">_xlfn.IFS(S135&lt;0,"Loss", S135&lt;0.15,"Low Margin",S135&lt;0.3,"Medium High", TRUE, "High Margin")</f>
        <v>High Margin</v>
      </c>
      <c r="X135" t="str">
        <f t="shared" si="35"/>
        <v>02-2024</v>
      </c>
    </row>
    <row r="136" spans="1:24" x14ac:dyDescent="0.3">
      <c r="A136">
        <v>10556</v>
      </c>
      <c r="B136" s="1">
        <v>45456</v>
      </c>
      <c r="C136" t="s">
        <v>41</v>
      </c>
      <c r="E136" t="s">
        <v>13</v>
      </c>
      <c r="G136" t="s">
        <v>43</v>
      </c>
      <c r="H136" t="s">
        <v>21</v>
      </c>
      <c r="I136">
        <v>56192.27</v>
      </c>
      <c r="J136">
        <v>11670.33</v>
      </c>
      <c r="K136">
        <v>85791.6</v>
      </c>
      <c r="L136" t="str">
        <f t="shared" si="24"/>
        <v>Neha</v>
      </c>
      <c r="M136" t="str">
        <f t="shared" si="25"/>
        <v>Unknown</v>
      </c>
      <c r="N136" t="str">
        <f t="shared" si="26"/>
        <v>Bengaluru</v>
      </c>
      <c r="O136" t="str">
        <f t="shared" si="27"/>
        <v>Unknown</v>
      </c>
      <c r="P136" s="4" t="str">
        <f t="shared" si="28"/>
        <v>Online</v>
      </c>
      <c r="Q136">
        <f t="shared" si="29"/>
        <v>11670.33</v>
      </c>
      <c r="R136" s="6">
        <f t="shared" si="30"/>
        <v>44521.939999999995</v>
      </c>
      <c r="S136">
        <f t="shared" si="31"/>
        <v>0.79231431654211504</v>
      </c>
      <c r="T136">
        <f t="shared" si="32"/>
        <v>0.65498568624434084</v>
      </c>
      <c r="U136">
        <f t="shared" si="33"/>
        <v>-29599.330000000009</v>
      </c>
      <c r="V136" t="str">
        <f t="shared" si="34"/>
        <v>Profitable</v>
      </c>
      <c r="W136" t="str" cm="1">
        <f t="array" ref="W136">_xlfn.IFS(S136&lt;0,"Loss", S136&lt;0.15,"Low Margin",S136&lt;0.3,"Medium High", TRUE, "High Margin")</f>
        <v>High Margin</v>
      </c>
      <c r="X136" t="str">
        <f t="shared" si="35"/>
        <v>06-2024</v>
      </c>
    </row>
    <row r="137" spans="1:24" x14ac:dyDescent="0.3">
      <c r="A137">
        <v>10573</v>
      </c>
      <c r="B137" s="1">
        <v>45493</v>
      </c>
      <c r="C137" t="s">
        <v>36</v>
      </c>
      <c r="D137" t="s">
        <v>34</v>
      </c>
      <c r="E137" t="s">
        <v>44</v>
      </c>
      <c r="F137" t="s">
        <v>32</v>
      </c>
      <c r="G137" t="s">
        <v>42</v>
      </c>
      <c r="I137">
        <v>116302.21</v>
      </c>
      <c r="J137">
        <v>46929.86</v>
      </c>
      <c r="K137">
        <v>84385</v>
      </c>
      <c r="L137" t="str">
        <f t="shared" si="24"/>
        <v>Amit</v>
      </c>
      <c r="M137" t="str">
        <f t="shared" si="25"/>
        <v>East</v>
      </c>
      <c r="N137" t="str">
        <f t="shared" si="26"/>
        <v>Pune</v>
      </c>
      <c r="O137" t="str">
        <f t="shared" si="27"/>
        <v>Smb</v>
      </c>
      <c r="P137" s="4" t="str">
        <f t="shared" si="28"/>
        <v>Unknown</v>
      </c>
      <c r="Q137">
        <f t="shared" si="29"/>
        <v>46929.86</v>
      </c>
      <c r="R137" s="6">
        <f t="shared" si="30"/>
        <v>69372.350000000006</v>
      </c>
      <c r="S137">
        <f t="shared" si="31"/>
        <v>0.59648350620336454</v>
      </c>
      <c r="T137">
        <f t="shared" si="32"/>
        <v>1.3782332168039344</v>
      </c>
      <c r="U137">
        <f t="shared" si="33"/>
        <v>31917.210000000006</v>
      </c>
      <c r="V137" t="str">
        <f t="shared" si="34"/>
        <v>Profitable</v>
      </c>
      <c r="W137" t="str" cm="1">
        <f t="array" ref="W137">_xlfn.IFS(S137&lt;0,"Loss", S137&lt;0.15,"Low Margin",S137&lt;0.3,"Medium High", TRUE, "High Margin")</f>
        <v>High Margin</v>
      </c>
      <c r="X137" t="str">
        <f t="shared" si="35"/>
        <v>07-2024</v>
      </c>
    </row>
    <row r="138" spans="1:24" x14ac:dyDescent="0.3">
      <c r="A138">
        <v>10027</v>
      </c>
      <c r="B138" s="1">
        <v>45374</v>
      </c>
      <c r="C138" t="s">
        <v>30</v>
      </c>
      <c r="E138" t="s">
        <v>44</v>
      </c>
      <c r="F138" t="s">
        <v>14</v>
      </c>
      <c r="G138" t="s">
        <v>40</v>
      </c>
      <c r="H138" t="s">
        <v>28</v>
      </c>
      <c r="I138">
        <v>76847.06</v>
      </c>
      <c r="J138">
        <v>97046.3</v>
      </c>
      <c r="K138">
        <v>161533.9</v>
      </c>
      <c r="L138" t="str">
        <f t="shared" si="24"/>
        <v>Ankit</v>
      </c>
      <c r="M138" t="str">
        <f t="shared" si="25"/>
        <v>Unknown</v>
      </c>
      <c r="N138" t="str">
        <f t="shared" si="26"/>
        <v>Pune</v>
      </c>
      <c r="O138" t="str">
        <f t="shared" si="27"/>
        <v>Enterprise</v>
      </c>
      <c r="P138" s="4" t="str">
        <f t="shared" si="28"/>
        <v>Direct</v>
      </c>
      <c r="Q138">
        <f t="shared" si="29"/>
        <v>97046.3</v>
      </c>
      <c r="R138" s="6">
        <f t="shared" si="30"/>
        <v>-20199.240000000005</v>
      </c>
      <c r="S138">
        <f t="shared" si="31"/>
        <v>-0.26284987350199224</v>
      </c>
      <c r="T138">
        <f t="shared" si="32"/>
        <v>0.47573332904114862</v>
      </c>
      <c r="U138">
        <f t="shared" si="33"/>
        <v>-84686.84</v>
      </c>
      <c r="V138" t="str">
        <f t="shared" si="34"/>
        <v>Unprofitable</v>
      </c>
      <c r="W138" t="str" cm="1">
        <f t="array" ref="W138">_xlfn.IFS(S138&lt;0,"Loss", S138&lt;0.15,"Low Margin",S138&lt;0.3,"Medium High", TRUE, "High Margin")</f>
        <v>Loss</v>
      </c>
      <c r="X138" t="str">
        <f t="shared" si="35"/>
        <v>03-2024</v>
      </c>
    </row>
    <row r="139" spans="1:24" x14ac:dyDescent="0.3">
      <c r="A139">
        <v>10555</v>
      </c>
      <c r="B139" s="1">
        <v>45436</v>
      </c>
      <c r="E139" t="s">
        <v>35</v>
      </c>
      <c r="F139" t="s">
        <v>39</v>
      </c>
      <c r="G139" t="s">
        <v>43</v>
      </c>
      <c r="H139" t="s">
        <v>21</v>
      </c>
      <c r="I139">
        <v>134073.17000000001</v>
      </c>
      <c r="J139">
        <v>53716.25</v>
      </c>
      <c r="K139">
        <v>163290.06</v>
      </c>
      <c r="L139" t="str">
        <f t="shared" si="24"/>
        <v>Unassigned</v>
      </c>
      <c r="M139" t="str">
        <f t="shared" si="25"/>
        <v>Unknown</v>
      </c>
      <c r="N139" t="str">
        <f t="shared" si="26"/>
        <v>Hyderabad</v>
      </c>
      <c r="O139" t="str">
        <f t="shared" si="27"/>
        <v>Enterprise</v>
      </c>
      <c r="P139" s="4" t="str">
        <f t="shared" si="28"/>
        <v>Online</v>
      </c>
      <c r="Q139">
        <f t="shared" si="29"/>
        <v>53716.25</v>
      </c>
      <c r="R139" s="6">
        <f t="shared" si="30"/>
        <v>80356.920000000013</v>
      </c>
      <c r="S139">
        <f t="shared" si="31"/>
        <v>0.59935123485183506</v>
      </c>
      <c r="T139">
        <f t="shared" si="32"/>
        <v>0.8210736771117606</v>
      </c>
      <c r="U139">
        <f t="shared" si="33"/>
        <v>-29216.889999999985</v>
      </c>
      <c r="V139" t="str">
        <f t="shared" si="34"/>
        <v>Profitable</v>
      </c>
      <c r="W139" t="str" cm="1">
        <f t="array" ref="W139">_xlfn.IFS(S139&lt;0,"Loss", S139&lt;0.15,"Low Margin",S139&lt;0.3,"Medium High", TRUE, "High Margin")</f>
        <v>High Margin</v>
      </c>
      <c r="X139" t="str">
        <f t="shared" si="35"/>
        <v>05-2024</v>
      </c>
    </row>
    <row r="140" spans="1:24" x14ac:dyDescent="0.3">
      <c r="A140">
        <v>10339</v>
      </c>
      <c r="B140" s="1">
        <v>45376</v>
      </c>
      <c r="C140" t="s">
        <v>29</v>
      </c>
      <c r="D140" t="s">
        <v>34</v>
      </c>
      <c r="E140" t="s">
        <v>44</v>
      </c>
      <c r="F140" t="s">
        <v>39</v>
      </c>
      <c r="G140" t="s">
        <v>43</v>
      </c>
      <c r="H140" t="s">
        <v>16</v>
      </c>
      <c r="I140">
        <v>54156.59</v>
      </c>
      <c r="J140">
        <v>119670.34</v>
      </c>
      <c r="K140">
        <v>165468.04</v>
      </c>
      <c r="L140" t="str">
        <f t="shared" si="24"/>
        <v>Sneha</v>
      </c>
      <c r="M140" t="str">
        <f t="shared" si="25"/>
        <v>East</v>
      </c>
      <c r="N140" t="str">
        <f t="shared" si="26"/>
        <v>Pune</v>
      </c>
      <c r="O140" t="str">
        <f t="shared" si="27"/>
        <v>Enterprise</v>
      </c>
      <c r="P140" s="4" t="str">
        <f t="shared" si="28"/>
        <v>direct</v>
      </c>
      <c r="Q140">
        <f t="shared" si="29"/>
        <v>119670.34</v>
      </c>
      <c r="R140" s="6">
        <f t="shared" si="30"/>
        <v>-65513.75</v>
      </c>
      <c r="S140">
        <f t="shared" si="31"/>
        <v>-1.2097096586029512</v>
      </c>
      <c r="T140">
        <f t="shared" si="32"/>
        <v>0.32729335526062914</v>
      </c>
      <c r="U140">
        <f t="shared" si="33"/>
        <v>-111311.45000000001</v>
      </c>
      <c r="V140" t="str">
        <f t="shared" si="34"/>
        <v>Unprofitable</v>
      </c>
      <c r="W140" t="str" cm="1">
        <f t="array" ref="W140">_xlfn.IFS(S140&lt;0,"Loss", S140&lt;0.15,"Low Margin",S140&lt;0.3,"Medium High", TRUE, "High Margin")</f>
        <v>Loss</v>
      </c>
      <c r="X140" t="str">
        <f t="shared" si="35"/>
        <v>03-2024</v>
      </c>
    </row>
    <row r="141" spans="1:24" x14ac:dyDescent="0.3">
      <c r="A141">
        <v>10330</v>
      </c>
      <c r="B141" s="1">
        <v>45369</v>
      </c>
      <c r="C141" t="s">
        <v>22</v>
      </c>
      <c r="D141" t="s">
        <v>17</v>
      </c>
      <c r="E141" t="s">
        <v>24</v>
      </c>
      <c r="F141" t="s">
        <v>39</v>
      </c>
      <c r="G141" t="s">
        <v>40</v>
      </c>
      <c r="H141" t="s">
        <v>33</v>
      </c>
      <c r="I141">
        <v>44785.85</v>
      </c>
      <c r="J141">
        <v>68409.94</v>
      </c>
      <c r="K141">
        <v>70220.490000000005</v>
      </c>
      <c r="L141" t="str">
        <f t="shared" si="24"/>
        <v>Amit</v>
      </c>
      <c r="M141" t="str">
        <f t="shared" si="25"/>
        <v>West</v>
      </c>
      <c r="N141" t="str">
        <f t="shared" si="26"/>
        <v>Chennai</v>
      </c>
      <c r="O141" t="str">
        <f t="shared" si="27"/>
        <v>Enterprise</v>
      </c>
      <c r="P141" s="4" t="str">
        <f t="shared" si="28"/>
        <v>Partner</v>
      </c>
      <c r="Q141">
        <f t="shared" si="29"/>
        <v>68409.94</v>
      </c>
      <c r="R141" s="6">
        <f t="shared" si="30"/>
        <v>-23624.090000000004</v>
      </c>
      <c r="S141">
        <f t="shared" si="31"/>
        <v>-0.52749004428854218</v>
      </c>
      <c r="T141">
        <f t="shared" si="32"/>
        <v>0.63778891317904496</v>
      </c>
      <c r="U141">
        <f t="shared" si="33"/>
        <v>-25434.640000000007</v>
      </c>
      <c r="V141" t="str">
        <f t="shared" si="34"/>
        <v>Unprofitable</v>
      </c>
      <c r="W141" t="str" cm="1">
        <f t="array" ref="W141">_xlfn.IFS(S141&lt;0,"Loss", S141&lt;0.15,"Low Margin",S141&lt;0.3,"Medium High", TRUE, "High Margin")</f>
        <v>Loss</v>
      </c>
      <c r="X141" t="str">
        <f t="shared" si="35"/>
        <v>03-2024</v>
      </c>
    </row>
    <row r="142" spans="1:24" x14ac:dyDescent="0.3">
      <c r="A142">
        <v>10505</v>
      </c>
      <c r="B142" s="1">
        <v>45292</v>
      </c>
      <c r="C142" t="s">
        <v>30</v>
      </c>
      <c r="D142" t="s">
        <v>17</v>
      </c>
      <c r="E142" t="s">
        <v>18</v>
      </c>
      <c r="F142" t="s">
        <v>32</v>
      </c>
      <c r="G142" t="s">
        <v>42</v>
      </c>
      <c r="H142" t="s">
        <v>28</v>
      </c>
      <c r="I142">
        <v>184301.9</v>
      </c>
      <c r="J142">
        <v>40575.97</v>
      </c>
      <c r="K142">
        <v>130568.93</v>
      </c>
      <c r="L142" t="str">
        <f t="shared" si="24"/>
        <v>Ankit</v>
      </c>
      <c r="M142" t="str">
        <f t="shared" si="25"/>
        <v>West</v>
      </c>
      <c r="N142" t="str">
        <f t="shared" si="26"/>
        <v>Bengaluru</v>
      </c>
      <c r="O142" t="str">
        <f t="shared" si="27"/>
        <v>Smb</v>
      </c>
      <c r="P142" s="4" t="str">
        <f t="shared" si="28"/>
        <v>Direct</v>
      </c>
      <c r="Q142">
        <f t="shared" si="29"/>
        <v>40575.97</v>
      </c>
      <c r="R142" s="6">
        <f t="shared" si="30"/>
        <v>143725.93</v>
      </c>
      <c r="S142">
        <f t="shared" si="31"/>
        <v>0.77983965439314518</v>
      </c>
      <c r="T142">
        <f t="shared" si="32"/>
        <v>1.4115295269709265</v>
      </c>
      <c r="U142">
        <f t="shared" si="33"/>
        <v>53732.97</v>
      </c>
      <c r="V142" t="str">
        <f t="shared" si="34"/>
        <v>Profitable</v>
      </c>
      <c r="W142" t="str" cm="1">
        <f t="array" ref="W142">_xlfn.IFS(S142&lt;0,"Loss", S142&lt;0.15,"Low Margin",S142&lt;0.3,"Medium High", TRUE, "High Margin")</f>
        <v>High Margin</v>
      </c>
      <c r="X142" t="str">
        <f t="shared" si="35"/>
        <v>01-2024</v>
      </c>
    </row>
    <row r="143" spans="1:24" x14ac:dyDescent="0.3">
      <c r="A143">
        <v>10347</v>
      </c>
      <c r="B143" s="1">
        <v>45342</v>
      </c>
      <c r="C143" t="s">
        <v>29</v>
      </c>
      <c r="D143" t="s">
        <v>23</v>
      </c>
      <c r="E143" t="s">
        <v>26</v>
      </c>
      <c r="F143" t="s">
        <v>32</v>
      </c>
      <c r="G143" t="s">
        <v>15</v>
      </c>
      <c r="H143" t="s">
        <v>33</v>
      </c>
      <c r="I143">
        <v>27546.31</v>
      </c>
      <c r="J143">
        <v>28753.03</v>
      </c>
      <c r="K143">
        <v>63461.31</v>
      </c>
      <c r="L143" t="str">
        <f t="shared" si="24"/>
        <v>Sneha</v>
      </c>
      <c r="M143" t="str">
        <f t="shared" si="25"/>
        <v>West</v>
      </c>
      <c r="N143" t="str">
        <f t="shared" si="26"/>
        <v>Mumbai</v>
      </c>
      <c r="O143" t="str">
        <f t="shared" si="27"/>
        <v>Smb</v>
      </c>
      <c r="P143" s="4" t="str">
        <f t="shared" si="28"/>
        <v>Partner</v>
      </c>
      <c r="Q143">
        <f t="shared" si="29"/>
        <v>28753.03</v>
      </c>
      <c r="R143" s="6">
        <f t="shared" si="30"/>
        <v>-1206.7199999999975</v>
      </c>
      <c r="S143">
        <f t="shared" si="31"/>
        <v>-4.3806956358219941E-2</v>
      </c>
      <c r="T143">
        <f t="shared" si="32"/>
        <v>0.43406462929933221</v>
      </c>
      <c r="U143">
        <f t="shared" si="33"/>
        <v>-35915</v>
      </c>
      <c r="V143" t="str">
        <f t="shared" si="34"/>
        <v>Unprofitable</v>
      </c>
      <c r="W143" t="str" cm="1">
        <f t="array" ref="W143">_xlfn.IFS(S143&lt;0,"Loss", S143&lt;0.15,"Low Margin",S143&lt;0.3,"Medium High", TRUE, "High Margin")</f>
        <v>Loss</v>
      </c>
      <c r="X143" t="str">
        <f t="shared" si="35"/>
        <v>02-2024</v>
      </c>
    </row>
    <row r="144" spans="1:24" x14ac:dyDescent="0.3">
      <c r="A144">
        <v>10472</v>
      </c>
      <c r="B144" s="1">
        <v>45464</v>
      </c>
      <c r="C144" t="s">
        <v>30</v>
      </c>
      <c r="D144" t="s">
        <v>12</v>
      </c>
      <c r="E144" t="s">
        <v>18</v>
      </c>
      <c r="F144" t="s">
        <v>19</v>
      </c>
      <c r="G144" t="s">
        <v>42</v>
      </c>
      <c r="H144" t="s">
        <v>21</v>
      </c>
      <c r="I144">
        <v>105143.92</v>
      </c>
      <c r="J144">
        <v>44010.9</v>
      </c>
      <c r="K144">
        <v>50497.57</v>
      </c>
      <c r="L144" t="str">
        <f t="shared" si="24"/>
        <v>Ankit</v>
      </c>
      <c r="M144" t="str">
        <f t="shared" si="25"/>
        <v>South</v>
      </c>
      <c r="N144" t="str">
        <f t="shared" si="26"/>
        <v>Bengaluru</v>
      </c>
      <c r="O144" t="str">
        <f t="shared" si="27"/>
        <v>Startup</v>
      </c>
      <c r="P144" s="4" t="str">
        <f t="shared" si="28"/>
        <v>Online</v>
      </c>
      <c r="Q144">
        <f t="shared" si="29"/>
        <v>44010.9</v>
      </c>
      <c r="R144" s="6">
        <f t="shared" si="30"/>
        <v>61133.02</v>
      </c>
      <c r="S144">
        <f t="shared" si="31"/>
        <v>0.5814223019267305</v>
      </c>
      <c r="T144">
        <f t="shared" si="32"/>
        <v>2.0821580127519006</v>
      </c>
      <c r="U144">
        <f t="shared" si="33"/>
        <v>54646.35</v>
      </c>
      <c r="V144" t="str">
        <f t="shared" si="34"/>
        <v>Profitable</v>
      </c>
      <c r="W144" t="str" cm="1">
        <f t="array" ref="W144">_xlfn.IFS(S144&lt;0,"Loss", S144&lt;0.15,"Low Margin",S144&lt;0.3,"Medium High", TRUE, "High Margin")</f>
        <v>High Margin</v>
      </c>
      <c r="X144" t="str">
        <f t="shared" si="35"/>
        <v>06-2024</v>
      </c>
    </row>
    <row r="145" spans="1:24" x14ac:dyDescent="0.3">
      <c r="A145">
        <v>10230</v>
      </c>
      <c r="B145" s="1">
        <v>45496</v>
      </c>
      <c r="D145" t="s">
        <v>23</v>
      </c>
      <c r="E145" t="s">
        <v>13</v>
      </c>
      <c r="F145" t="s">
        <v>39</v>
      </c>
      <c r="G145" t="s">
        <v>27</v>
      </c>
      <c r="I145">
        <v>50403.73</v>
      </c>
      <c r="J145">
        <v>46586.39</v>
      </c>
      <c r="K145">
        <v>49541.19</v>
      </c>
      <c r="L145" t="str">
        <f t="shared" si="24"/>
        <v>Unassigned</v>
      </c>
      <c r="M145" t="str">
        <f t="shared" si="25"/>
        <v>West</v>
      </c>
      <c r="N145" t="str">
        <f t="shared" si="26"/>
        <v>Bengaluru</v>
      </c>
      <c r="O145" t="str">
        <f t="shared" si="27"/>
        <v>Enterprise</v>
      </c>
      <c r="P145" s="4" t="str">
        <f t="shared" si="28"/>
        <v>Unknown</v>
      </c>
      <c r="Q145">
        <f t="shared" si="29"/>
        <v>46586.39</v>
      </c>
      <c r="R145" s="6">
        <f t="shared" si="30"/>
        <v>3817.3400000000038</v>
      </c>
      <c r="S145">
        <f t="shared" si="31"/>
        <v>7.573526800496716E-2</v>
      </c>
      <c r="T145">
        <f t="shared" si="32"/>
        <v>1.0174105628064243</v>
      </c>
      <c r="U145">
        <f t="shared" si="33"/>
        <v>862.54000000000087</v>
      </c>
      <c r="V145" t="str">
        <f t="shared" si="34"/>
        <v>Profitable</v>
      </c>
      <c r="W145" t="str" cm="1">
        <f t="array" ref="W145">_xlfn.IFS(S145&lt;0,"Loss", S145&lt;0.15,"Low Margin",S145&lt;0.3,"Medium High", TRUE, "High Margin")</f>
        <v>Low Margin</v>
      </c>
      <c r="X145" t="str">
        <f t="shared" si="35"/>
        <v>07-2024</v>
      </c>
    </row>
    <row r="146" spans="1:24" x14ac:dyDescent="0.3">
      <c r="A146">
        <v>10189</v>
      </c>
      <c r="B146" s="1">
        <v>45551</v>
      </c>
      <c r="C146" t="s">
        <v>29</v>
      </c>
      <c r="D146" t="s">
        <v>12</v>
      </c>
      <c r="E146" t="s">
        <v>26</v>
      </c>
      <c r="F146" t="s">
        <v>14</v>
      </c>
      <c r="G146" t="s">
        <v>20</v>
      </c>
      <c r="I146">
        <v>15474.55</v>
      </c>
      <c r="J146">
        <v>11039.5</v>
      </c>
      <c r="K146">
        <v>74737.22</v>
      </c>
      <c r="L146" t="str">
        <f t="shared" si="24"/>
        <v>Sneha</v>
      </c>
      <c r="M146" t="str">
        <f t="shared" si="25"/>
        <v>South</v>
      </c>
      <c r="N146" t="str">
        <f t="shared" si="26"/>
        <v>Mumbai</v>
      </c>
      <c r="O146" t="str">
        <f t="shared" si="27"/>
        <v>Enterprise</v>
      </c>
      <c r="P146" s="4" t="str">
        <f t="shared" si="28"/>
        <v>Unknown</v>
      </c>
      <c r="Q146">
        <f t="shared" si="29"/>
        <v>11039.5</v>
      </c>
      <c r="R146" s="6">
        <f t="shared" si="30"/>
        <v>4435.0499999999993</v>
      </c>
      <c r="S146">
        <f t="shared" si="31"/>
        <v>0.28660284143965409</v>
      </c>
      <c r="T146">
        <f t="shared" si="32"/>
        <v>0.20705279109926752</v>
      </c>
      <c r="U146">
        <f t="shared" si="33"/>
        <v>-59262.67</v>
      </c>
      <c r="V146" t="str">
        <f t="shared" si="34"/>
        <v>Profitable</v>
      </c>
      <c r="W146" t="str" cm="1">
        <f t="array" ref="W146">_xlfn.IFS(S146&lt;0,"Loss", S146&lt;0.15,"Low Margin",S146&lt;0.3,"Medium High", TRUE, "High Margin")</f>
        <v>Medium High</v>
      </c>
      <c r="X146" t="str">
        <f t="shared" si="35"/>
        <v>09-2024</v>
      </c>
    </row>
    <row r="147" spans="1:24" x14ac:dyDescent="0.3">
      <c r="A147">
        <v>10224</v>
      </c>
      <c r="B147" s="1">
        <v>45325</v>
      </c>
      <c r="C147" t="s">
        <v>11</v>
      </c>
      <c r="F147" t="s">
        <v>14</v>
      </c>
      <c r="G147" t="s">
        <v>40</v>
      </c>
      <c r="H147" t="s">
        <v>16</v>
      </c>
      <c r="I147">
        <v>14915.61</v>
      </c>
      <c r="J147">
        <v>46240.18</v>
      </c>
      <c r="K147">
        <v>88793.22</v>
      </c>
      <c r="L147" t="str">
        <f t="shared" si="24"/>
        <v>Rahul</v>
      </c>
      <c r="M147" t="str">
        <f t="shared" si="25"/>
        <v>Unknown</v>
      </c>
      <c r="N147" t="str">
        <f t="shared" si="26"/>
        <v>Unknown</v>
      </c>
      <c r="O147" t="str">
        <f t="shared" si="27"/>
        <v>Enterprise</v>
      </c>
      <c r="P147" s="4" t="str">
        <f t="shared" si="28"/>
        <v>direct</v>
      </c>
      <c r="Q147">
        <f t="shared" si="29"/>
        <v>46240.18</v>
      </c>
      <c r="R147" s="6">
        <f t="shared" si="30"/>
        <v>-31324.57</v>
      </c>
      <c r="S147">
        <f t="shared" si="31"/>
        <v>-2.1001199414573053</v>
      </c>
      <c r="T147">
        <f t="shared" si="32"/>
        <v>0.16798140668848366</v>
      </c>
      <c r="U147">
        <f t="shared" si="33"/>
        <v>-73877.61</v>
      </c>
      <c r="V147" t="str">
        <f t="shared" si="34"/>
        <v>Unprofitable</v>
      </c>
      <c r="W147" t="str" cm="1">
        <f t="array" ref="W147">_xlfn.IFS(S147&lt;0,"Loss", S147&lt;0.15,"Low Margin",S147&lt;0.3,"Medium High", TRUE, "High Margin")</f>
        <v>Loss</v>
      </c>
      <c r="X147" t="str">
        <f t="shared" si="35"/>
        <v>02-2024</v>
      </c>
    </row>
    <row r="148" spans="1:24" x14ac:dyDescent="0.3">
      <c r="A148">
        <v>10384</v>
      </c>
      <c r="B148" s="1">
        <v>45386</v>
      </c>
      <c r="C148" t="s">
        <v>41</v>
      </c>
      <c r="D148" t="s">
        <v>34</v>
      </c>
      <c r="E148" t="s">
        <v>26</v>
      </c>
      <c r="F148" t="s">
        <v>39</v>
      </c>
      <c r="G148" t="s">
        <v>15</v>
      </c>
      <c r="I148">
        <v>41642.58</v>
      </c>
      <c r="K148">
        <v>152951.87</v>
      </c>
      <c r="L148" t="str">
        <f t="shared" si="24"/>
        <v>Neha</v>
      </c>
      <c r="M148" t="str">
        <f t="shared" si="25"/>
        <v>East</v>
      </c>
      <c r="N148" t="str">
        <f t="shared" si="26"/>
        <v>Mumbai</v>
      </c>
      <c r="O148" t="str">
        <f t="shared" si="27"/>
        <v>Enterprise</v>
      </c>
      <c r="P148" s="4" t="str">
        <f t="shared" si="28"/>
        <v>Unknown</v>
      </c>
      <c r="Q148">
        <f t="shared" si="29"/>
        <v>0</v>
      </c>
      <c r="R148" s="6">
        <f t="shared" si="30"/>
        <v>41642.58</v>
      </c>
      <c r="S148">
        <f t="shared" si="31"/>
        <v>1</v>
      </c>
      <c r="T148">
        <f t="shared" si="32"/>
        <v>0.27225937152648089</v>
      </c>
      <c r="U148">
        <f t="shared" si="33"/>
        <v>-111309.29</v>
      </c>
      <c r="V148" t="str">
        <f t="shared" si="34"/>
        <v>Profitable</v>
      </c>
      <c r="W148" t="str" cm="1">
        <f t="array" ref="W148">_xlfn.IFS(S148&lt;0,"Loss", S148&lt;0.15,"Low Margin",S148&lt;0.3,"Medium High", TRUE, "High Margin")</f>
        <v>High Margin</v>
      </c>
      <c r="X148" t="str">
        <f t="shared" si="35"/>
        <v>04-2024</v>
      </c>
    </row>
    <row r="149" spans="1:24" x14ac:dyDescent="0.3">
      <c r="A149">
        <v>10376</v>
      </c>
      <c r="B149" s="1">
        <v>45363</v>
      </c>
      <c r="E149" t="s">
        <v>18</v>
      </c>
      <c r="F149" t="s">
        <v>39</v>
      </c>
      <c r="G149" t="s">
        <v>40</v>
      </c>
      <c r="H149" t="s">
        <v>28</v>
      </c>
      <c r="I149">
        <v>174419.91</v>
      </c>
      <c r="J149">
        <v>87560.320000000007</v>
      </c>
      <c r="K149">
        <v>39182.57</v>
      </c>
      <c r="L149" t="str">
        <f t="shared" si="24"/>
        <v>Unassigned</v>
      </c>
      <c r="M149" t="str">
        <f t="shared" si="25"/>
        <v>Unknown</v>
      </c>
      <c r="N149" t="str">
        <f t="shared" si="26"/>
        <v>Bengaluru</v>
      </c>
      <c r="O149" t="str">
        <f t="shared" si="27"/>
        <v>Enterprise</v>
      </c>
      <c r="P149" s="4" t="str">
        <f t="shared" si="28"/>
        <v>Direct</v>
      </c>
      <c r="Q149">
        <f t="shared" si="29"/>
        <v>87560.320000000007</v>
      </c>
      <c r="R149" s="6">
        <f t="shared" si="30"/>
        <v>86859.59</v>
      </c>
      <c r="S149">
        <f t="shared" si="31"/>
        <v>0.49799125570010899</v>
      </c>
      <c r="T149">
        <f t="shared" si="32"/>
        <v>4.4514668129221748</v>
      </c>
      <c r="U149">
        <f t="shared" si="33"/>
        <v>135237.34</v>
      </c>
      <c r="V149" t="str">
        <f t="shared" si="34"/>
        <v>Profitable</v>
      </c>
      <c r="W149" t="str" cm="1">
        <f t="array" ref="W149">_xlfn.IFS(S149&lt;0,"Loss", S149&lt;0.15,"Low Margin",S149&lt;0.3,"Medium High", TRUE, "High Margin")</f>
        <v>High Margin</v>
      </c>
      <c r="X149" t="str">
        <f t="shared" si="35"/>
        <v>03-2024</v>
      </c>
    </row>
    <row r="150" spans="1:24" x14ac:dyDescent="0.3">
      <c r="A150">
        <v>10282</v>
      </c>
      <c r="B150" s="1">
        <v>45330</v>
      </c>
      <c r="C150" t="s">
        <v>30</v>
      </c>
      <c r="D150" t="s">
        <v>37</v>
      </c>
      <c r="E150" t="s">
        <v>35</v>
      </c>
      <c r="F150" t="s">
        <v>39</v>
      </c>
      <c r="G150" t="s">
        <v>40</v>
      </c>
      <c r="I150">
        <v>62235.92</v>
      </c>
      <c r="J150">
        <v>79837.350000000006</v>
      </c>
      <c r="L150" t="str">
        <f t="shared" si="24"/>
        <v>Ankit</v>
      </c>
      <c r="M150" t="str">
        <f t="shared" si="25"/>
        <v>North</v>
      </c>
      <c r="N150" t="str">
        <f t="shared" si="26"/>
        <v>Hyderabad</v>
      </c>
      <c r="O150" t="str">
        <f t="shared" si="27"/>
        <v>Enterprise</v>
      </c>
      <c r="P150" s="4" t="str">
        <f t="shared" si="28"/>
        <v>Unknown</v>
      </c>
      <c r="Q150">
        <f t="shared" si="29"/>
        <v>79837.350000000006</v>
      </c>
      <c r="R150" s="6">
        <f t="shared" si="30"/>
        <v>-17601.430000000008</v>
      </c>
      <c r="S150">
        <f t="shared" si="31"/>
        <v>-0.28281786466722125</v>
      </c>
      <c r="T150">
        <f t="shared" si="32"/>
        <v>0</v>
      </c>
      <c r="U150">
        <f t="shared" si="33"/>
        <v>62235.92</v>
      </c>
      <c r="V150" t="str">
        <f t="shared" si="34"/>
        <v>Unprofitable</v>
      </c>
      <c r="W150" t="str" cm="1">
        <f t="array" ref="W150">_xlfn.IFS(S150&lt;0,"Loss", S150&lt;0.15,"Low Margin",S150&lt;0.3,"Medium High", TRUE, "High Margin")</f>
        <v>Loss</v>
      </c>
      <c r="X150" t="str">
        <f t="shared" si="35"/>
        <v>02-2024</v>
      </c>
    </row>
    <row r="151" spans="1:24" x14ac:dyDescent="0.3">
      <c r="A151">
        <v>10258</v>
      </c>
      <c r="B151" s="1">
        <v>45445</v>
      </c>
      <c r="C151" t="s">
        <v>22</v>
      </c>
      <c r="D151" t="s">
        <v>17</v>
      </c>
      <c r="E151" t="s">
        <v>26</v>
      </c>
      <c r="F151" t="s">
        <v>32</v>
      </c>
      <c r="G151" t="s">
        <v>42</v>
      </c>
      <c r="H151" t="s">
        <v>16</v>
      </c>
      <c r="I151">
        <v>190488.16</v>
      </c>
      <c r="J151">
        <v>85925.58</v>
      </c>
      <c r="K151">
        <v>105032.79</v>
      </c>
      <c r="L151" t="str">
        <f t="shared" si="24"/>
        <v>Amit</v>
      </c>
      <c r="M151" t="str">
        <f t="shared" si="25"/>
        <v>West</v>
      </c>
      <c r="N151" t="str">
        <f t="shared" si="26"/>
        <v>Mumbai</v>
      </c>
      <c r="O151" t="str">
        <f t="shared" si="27"/>
        <v>Smb</v>
      </c>
      <c r="P151" s="4" t="str">
        <f t="shared" si="28"/>
        <v>direct</v>
      </c>
      <c r="Q151">
        <f t="shared" si="29"/>
        <v>85925.58</v>
      </c>
      <c r="R151" s="6">
        <f t="shared" si="30"/>
        <v>104562.58</v>
      </c>
      <c r="S151">
        <f t="shared" si="31"/>
        <v>0.54891905092683979</v>
      </c>
      <c r="T151">
        <f t="shared" si="32"/>
        <v>1.8136065889518884</v>
      </c>
      <c r="U151">
        <f t="shared" si="33"/>
        <v>85455.37000000001</v>
      </c>
      <c r="V151" t="str">
        <f t="shared" si="34"/>
        <v>Profitable</v>
      </c>
      <c r="W151" t="str" cm="1">
        <f t="array" ref="W151">_xlfn.IFS(S151&lt;0,"Loss", S151&lt;0.15,"Low Margin",S151&lt;0.3,"Medium High", TRUE, "High Margin")</f>
        <v>High Margin</v>
      </c>
      <c r="X151" t="str">
        <f t="shared" si="35"/>
        <v>06-2024</v>
      </c>
    </row>
    <row r="152" spans="1:24" x14ac:dyDescent="0.3">
      <c r="A152">
        <v>10358</v>
      </c>
      <c r="B152" s="1">
        <v>45541</v>
      </c>
      <c r="C152" t="s">
        <v>36</v>
      </c>
      <c r="D152" t="s">
        <v>12</v>
      </c>
      <c r="F152" t="s">
        <v>32</v>
      </c>
      <c r="G152" t="s">
        <v>20</v>
      </c>
      <c r="H152" t="s">
        <v>21</v>
      </c>
      <c r="I152">
        <v>119671.48</v>
      </c>
      <c r="J152">
        <v>3978.55</v>
      </c>
      <c r="K152">
        <v>66071.25</v>
      </c>
      <c r="L152" t="str">
        <f t="shared" si="24"/>
        <v>Amit</v>
      </c>
      <c r="M152" t="str">
        <f t="shared" si="25"/>
        <v>South</v>
      </c>
      <c r="N152" t="str">
        <f t="shared" si="26"/>
        <v>Unknown</v>
      </c>
      <c r="O152" t="str">
        <f t="shared" si="27"/>
        <v>Smb</v>
      </c>
      <c r="P152" s="4" t="str">
        <f t="shared" si="28"/>
        <v>Online</v>
      </c>
      <c r="Q152">
        <f t="shared" si="29"/>
        <v>3978.55</v>
      </c>
      <c r="R152" s="6">
        <f t="shared" si="30"/>
        <v>115692.93</v>
      </c>
      <c r="S152">
        <f t="shared" si="31"/>
        <v>0.96675440129929036</v>
      </c>
      <c r="T152">
        <f t="shared" si="32"/>
        <v>1.8112489168889645</v>
      </c>
      <c r="U152">
        <f t="shared" si="33"/>
        <v>53600.229999999996</v>
      </c>
      <c r="V152" t="str">
        <f t="shared" si="34"/>
        <v>Profitable</v>
      </c>
      <c r="W152" t="str" cm="1">
        <f t="array" ref="W152">_xlfn.IFS(S152&lt;0,"Loss", S152&lt;0.15,"Low Margin",S152&lt;0.3,"Medium High", TRUE, "High Margin")</f>
        <v>High Margin</v>
      </c>
      <c r="X152" t="str">
        <f t="shared" si="35"/>
        <v>09-2024</v>
      </c>
    </row>
    <row r="153" spans="1:24" x14ac:dyDescent="0.3">
      <c r="A153">
        <v>10455</v>
      </c>
      <c r="B153" s="1">
        <v>45453</v>
      </c>
      <c r="C153" t="s">
        <v>30</v>
      </c>
      <c r="D153" t="s">
        <v>23</v>
      </c>
      <c r="F153" t="s">
        <v>32</v>
      </c>
      <c r="G153" t="s">
        <v>27</v>
      </c>
      <c r="H153" t="s">
        <v>21</v>
      </c>
      <c r="I153">
        <v>91829.92</v>
      </c>
      <c r="J153">
        <v>28467.09</v>
      </c>
      <c r="K153">
        <v>98851.13</v>
      </c>
      <c r="L153" t="str">
        <f t="shared" si="24"/>
        <v>Ankit</v>
      </c>
      <c r="M153" t="str">
        <f t="shared" si="25"/>
        <v>West</v>
      </c>
      <c r="N153" t="str">
        <f t="shared" si="26"/>
        <v>Unknown</v>
      </c>
      <c r="O153" t="str">
        <f t="shared" si="27"/>
        <v>Smb</v>
      </c>
      <c r="P153" s="4" t="str">
        <f t="shared" si="28"/>
        <v>Online</v>
      </c>
      <c r="Q153">
        <f t="shared" si="29"/>
        <v>28467.09</v>
      </c>
      <c r="R153" s="6">
        <f t="shared" si="30"/>
        <v>63362.83</v>
      </c>
      <c r="S153">
        <f t="shared" si="31"/>
        <v>0.69000201677187567</v>
      </c>
      <c r="T153">
        <f t="shared" si="32"/>
        <v>0.92897187922889701</v>
      </c>
      <c r="U153">
        <f t="shared" si="33"/>
        <v>-7021.2100000000064</v>
      </c>
      <c r="V153" t="str">
        <f t="shared" si="34"/>
        <v>Profitable</v>
      </c>
      <c r="W153" t="str" cm="1">
        <f t="array" ref="W153">_xlfn.IFS(S153&lt;0,"Loss", S153&lt;0.15,"Low Margin",S153&lt;0.3,"Medium High", TRUE, "High Margin")</f>
        <v>High Margin</v>
      </c>
      <c r="X153" t="str">
        <f t="shared" si="35"/>
        <v>06-2024</v>
      </c>
    </row>
    <row r="154" spans="1:24" x14ac:dyDescent="0.3">
      <c r="A154">
        <v>10410</v>
      </c>
      <c r="B154" s="1">
        <v>45409</v>
      </c>
      <c r="C154" t="s">
        <v>41</v>
      </c>
      <c r="D154" t="s">
        <v>34</v>
      </c>
      <c r="G154" t="s">
        <v>43</v>
      </c>
      <c r="I154">
        <v>119377.06</v>
      </c>
      <c r="J154">
        <v>80417.06</v>
      </c>
      <c r="K154">
        <v>67990.73</v>
      </c>
      <c r="L154" t="str">
        <f t="shared" si="24"/>
        <v>Neha</v>
      </c>
      <c r="M154" t="str">
        <f t="shared" si="25"/>
        <v>East</v>
      </c>
      <c r="N154" t="str">
        <f t="shared" si="26"/>
        <v>Unknown</v>
      </c>
      <c r="O154" t="str">
        <f t="shared" si="27"/>
        <v>Unknown</v>
      </c>
      <c r="P154" s="4" t="str">
        <f t="shared" si="28"/>
        <v>Unknown</v>
      </c>
      <c r="Q154">
        <f t="shared" si="29"/>
        <v>80417.06</v>
      </c>
      <c r="R154" s="6">
        <f t="shared" si="30"/>
        <v>38960</v>
      </c>
      <c r="S154">
        <f t="shared" si="31"/>
        <v>0.32636086028588746</v>
      </c>
      <c r="T154">
        <f t="shared" si="32"/>
        <v>1.7557843547201215</v>
      </c>
      <c r="U154">
        <f t="shared" si="33"/>
        <v>51386.33</v>
      </c>
      <c r="V154" t="str">
        <f t="shared" si="34"/>
        <v>Profitable</v>
      </c>
      <c r="W154" t="str" cm="1">
        <f t="array" ref="W154">_xlfn.IFS(S154&lt;0,"Loss", S154&lt;0.15,"Low Margin",S154&lt;0.3,"Medium High", TRUE, "High Margin")</f>
        <v>High Margin</v>
      </c>
      <c r="X154" t="str">
        <f t="shared" si="35"/>
        <v>04-2024</v>
      </c>
    </row>
    <row r="155" spans="1:24" x14ac:dyDescent="0.3">
      <c r="A155">
        <v>10317</v>
      </c>
      <c r="B155" s="1">
        <v>45550</v>
      </c>
      <c r="C155" t="s">
        <v>29</v>
      </c>
      <c r="D155" t="s">
        <v>12</v>
      </c>
      <c r="E155" t="s">
        <v>18</v>
      </c>
      <c r="F155" t="s">
        <v>14</v>
      </c>
      <c r="G155" t="s">
        <v>43</v>
      </c>
      <c r="H155" t="s">
        <v>33</v>
      </c>
      <c r="I155">
        <v>107206.09</v>
      </c>
      <c r="J155">
        <v>59626.76</v>
      </c>
      <c r="K155">
        <v>115373.11</v>
      </c>
      <c r="L155" t="str">
        <f t="shared" si="24"/>
        <v>Sneha</v>
      </c>
      <c r="M155" t="str">
        <f t="shared" si="25"/>
        <v>South</v>
      </c>
      <c r="N155" t="str">
        <f t="shared" si="26"/>
        <v>Bengaluru</v>
      </c>
      <c r="O155" t="str">
        <f t="shared" si="27"/>
        <v>Enterprise</v>
      </c>
      <c r="P155" s="4" t="str">
        <f t="shared" si="28"/>
        <v>Partner</v>
      </c>
      <c r="Q155">
        <f t="shared" si="29"/>
        <v>59626.76</v>
      </c>
      <c r="R155" s="6">
        <f t="shared" si="30"/>
        <v>47579.329999999994</v>
      </c>
      <c r="S155">
        <f t="shared" si="31"/>
        <v>0.443811820765033</v>
      </c>
      <c r="T155">
        <f t="shared" si="32"/>
        <v>0.92921210150268119</v>
      </c>
      <c r="U155">
        <f t="shared" si="33"/>
        <v>-8167.0200000000041</v>
      </c>
      <c r="V155" t="str">
        <f t="shared" si="34"/>
        <v>Profitable</v>
      </c>
      <c r="W155" t="str" cm="1">
        <f t="array" ref="W155">_xlfn.IFS(S155&lt;0,"Loss", S155&lt;0.15,"Low Margin",S155&lt;0.3,"Medium High", TRUE, "High Margin")</f>
        <v>High Margin</v>
      </c>
      <c r="X155" t="str">
        <f t="shared" si="35"/>
        <v>09-2024</v>
      </c>
    </row>
    <row r="156" spans="1:24" x14ac:dyDescent="0.3">
      <c r="A156">
        <v>10224</v>
      </c>
      <c r="B156" s="1">
        <v>45559</v>
      </c>
      <c r="C156" t="s">
        <v>36</v>
      </c>
      <c r="D156" t="s">
        <v>23</v>
      </c>
      <c r="E156" t="s">
        <v>26</v>
      </c>
      <c r="F156" t="s">
        <v>14</v>
      </c>
      <c r="G156" t="s">
        <v>40</v>
      </c>
      <c r="H156" t="s">
        <v>21</v>
      </c>
      <c r="I156">
        <v>153685.04</v>
      </c>
      <c r="J156">
        <v>3621.68</v>
      </c>
      <c r="K156">
        <v>89415.03</v>
      </c>
      <c r="L156" t="str">
        <f t="shared" si="24"/>
        <v>Amit</v>
      </c>
      <c r="M156" t="str">
        <f t="shared" si="25"/>
        <v>West</v>
      </c>
      <c r="N156" t="str">
        <f t="shared" si="26"/>
        <v>Mumbai</v>
      </c>
      <c r="O156" t="str">
        <f t="shared" si="27"/>
        <v>Enterprise</v>
      </c>
      <c r="P156" s="4" t="str">
        <f t="shared" si="28"/>
        <v>Online</v>
      </c>
      <c r="Q156">
        <f t="shared" si="29"/>
        <v>3621.68</v>
      </c>
      <c r="R156" s="6">
        <f t="shared" si="30"/>
        <v>150063.36000000002</v>
      </c>
      <c r="S156">
        <f t="shared" si="31"/>
        <v>0.9764344011622732</v>
      </c>
      <c r="T156">
        <f t="shared" si="32"/>
        <v>1.7187830725997633</v>
      </c>
      <c r="U156">
        <f t="shared" si="33"/>
        <v>64270.010000000009</v>
      </c>
      <c r="V156" t="str">
        <f t="shared" si="34"/>
        <v>Profitable</v>
      </c>
      <c r="W156" t="str" cm="1">
        <f t="array" ref="W156">_xlfn.IFS(S156&lt;0,"Loss", S156&lt;0.15,"Low Margin",S156&lt;0.3,"Medium High", TRUE, "High Margin")</f>
        <v>High Margin</v>
      </c>
      <c r="X156" t="str">
        <f t="shared" si="35"/>
        <v>09-2024</v>
      </c>
    </row>
    <row r="157" spans="1:24" x14ac:dyDescent="0.3">
      <c r="A157">
        <v>10233</v>
      </c>
      <c r="B157" s="1">
        <v>45345</v>
      </c>
      <c r="C157" t="s">
        <v>45</v>
      </c>
      <c r="D157" t="s">
        <v>17</v>
      </c>
      <c r="E157" t="s">
        <v>38</v>
      </c>
      <c r="F157" t="s">
        <v>19</v>
      </c>
      <c r="G157" t="s">
        <v>20</v>
      </c>
      <c r="I157">
        <v>62239.24</v>
      </c>
      <c r="J157">
        <v>97125.87</v>
      </c>
      <c r="L157" t="str">
        <f t="shared" si="24"/>
        <v>Rahul</v>
      </c>
      <c r="M157" t="str">
        <f t="shared" si="25"/>
        <v>West</v>
      </c>
      <c r="N157" t="str">
        <f t="shared" si="26"/>
        <v>Delhi</v>
      </c>
      <c r="O157" t="str">
        <f t="shared" si="27"/>
        <v>Startup</v>
      </c>
      <c r="P157" s="4" t="str">
        <f t="shared" si="28"/>
        <v>Unknown</v>
      </c>
      <c r="Q157">
        <f t="shared" si="29"/>
        <v>97125.87</v>
      </c>
      <c r="R157" s="6">
        <f t="shared" si="30"/>
        <v>-34886.629999999997</v>
      </c>
      <c r="S157">
        <f t="shared" si="31"/>
        <v>-0.56052467864324818</v>
      </c>
      <c r="T157">
        <f t="shared" si="32"/>
        <v>0</v>
      </c>
      <c r="U157">
        <f t="shared" si="33"/>
        <v>62239.24</v>
      </c>
      <c r="V157" t="str">
        <f t="shared" si="34"/>
        <v>Unprofitable</v>
      </c>
      <c r="W157" t="str" cm="1">
        <f t="array" ref="W157">_xlfn.IFS(S157&lt;0,"Loss", S157&lt;0.15,"Low Margin",S157&lt;0.3,"Medium High", TRUE, "High Margin")</f>
        <v>Loss</v>
      </c>
      <c r="X157" t="str">
        <f t="shared" si="35"/>
        <v>02-2024</v>
      </c>
    </row>
    <row r="158" spans="1:24" x14ac:dyDescent="0.3">
      <c r="A158">
        <v>10373</v>
      </c>
      <c r="B158" s="1">
        <v>45527</v>
      </c>
      <c r="C158" t="s">
        <v>30</v>
      </c>
      <c r="E158" t="s">
        <v>35</v>
      </c>
      <c r="F158" t="s">
        <v>32</v>
      </c>
      <c r="G158" t="s">
        <v>15</v>
      </c>
      <c r="H158" t="s">
        <v>16</v>
      </c>
      <c r="I158">
        <v>75785.679999999993</v>
      </c>
      <c r="K158">
        <v>38653.29</v>
      </c>
      <c r="L158" t="str">
        <f t="shared" si="24"/>
        <v>Ankit</v>
      </c>
      <c r="M158" t="str">
        <f t="shared" si="25"/>
        <v>Unknown</v>
      </c>
      <c r="N158" t="str">
        <f t="shared" si="26"/>
        <v>Hyderabad</v>
      </c>
      <c r="O158" t="str">
        <f t="shared" si="27"/>
        <v>Smb</v>
      </c>
      <c r="P158" s="4" t="str">
        <f t="shared" si="28"/>
        <v>direct</v>
      </c>
      <c r="Q158">
        <f t="shared" si="29"/>
        <v>0</v>
      </c>
      <c r="R158" s="6">
        <f t="shared" si="30"/>
        <v>75785.679999999993</v>
      </c>
      <c r="S158">
        <f t="shared" si="31"/>
        <v>1</v>
      </c>
      <c r="T158">
        <f t="shared" si="32"/>
        <v>1.9606527672029985</v>
      </c>
      <c r="U158">
        <f t="shared" si="33"/>
        <v>37132.389999999992</v>
      </c>
      <c r="V158" t="str">
        <f t="shared" si="34"/>
        <v>Profitable</v>
      </c>
      <c r="W158" t="str" cm="1">
        <f t="array" ref="W158">_xlfn.IFS(S158&lt;0,"Loss", S158&lt;0.15,"Low Margin",S158&lt;0.3,"Medium High", TRUE, "High Margin")</f>
        <v>High Margin</v>
      </c>
      <c r="X158" t="str">
        <f t="shared" si="35"/>
        <v>08-2024</v>
      </c>
    </row>
    <row r="159" spans="1:24" x14ac:dyDescent="0.3">
      <c r="A159">
        <v>10471</v>
      </c>
      <c r="B159" s="1">
        <v>45513</v>
      </c>
      <c r="C159" t="s">
        <v>25</v>
      </c>
      <c r="D159" t="s">
        <v>17</v>
      </c>
      <c r="E159" t="s">
        <v>24</v>
      </c>
      <c r="G159" t="s">
        <v>42</v>
      </c>
      <c r="I159">
        <v>179666.11</v>
      </c>
      <c r="J159">
        <v>67165.039999999994</v>
      </c>
      <c r="K159">
        <v>107471.31</v>
      </c>
      <c r="L159" t="str">
        <f t="shared" si="24"/>
        <v>Priya</v>
      </c>
      <c r="M159" t="str">
        <f t="shared" si="25"/>
        <v>West</v>
      </c>
      <c r="N159" t="str">
        <f t="shared" si="26"/>
        <v>Chennai</v>
      </c>
      <c r="O159" t="str">
        <f t="shared" si="27"/>
        <v>Unknown</v>
      </c>
      <c r="P159" s="4" t="str">
        <f t="shared" si="28"/>
        <v>Unknown</v>
      </c>
      <c r="Q159">
        <f t="shared" si="29"/>
        <v>67165.039999999994</v>
      </c>
      <c r="R159" s="6">
        <f t="shared" si="30"/>
        <v>112501.06999999999</v>
      </c>
      <c r="S159">
        <f t="shared" si="31"/>
        <v>0.62616745027762888</v>
      </c>
      <c r="T159">
        <f t="shared" si="32"/>
        <v>1.6717588163762029</v>
      </c>
      <c r="U159">
        <f t="shared" si="33"/>
        <v>72194.799999999988</v>
      </c>
      <c r="V159" t="str">
        <f t="shared" si="34"/>
        <v>Profitable</v>
      </c>
      <c r="W159" t="str" cm="1">
        <f t="array" ref="W159">_xlfn.IFS(S159&lt;0,"Loss", S159&lt;0.15,"Low Margin",S159&lt;0.3,"Medium High", TRUE, "High Margin")</f>
        <v>High Margin</v>
      </c>
      <c r="X159" t="str">
        <f t="shared" si="35"/>
        <v>08-2024</v>
      </c>
    </row>
    <row r="160" spans="1:24" x14ac:dyDescent="0.3">
      <c r="A160">
        <v>10232</v>
      </c>
      <c r="B160" s="1">
        <v>45542</v>
      </c>
      <c r="C160" t="s">
        <v>45</v>
      </c>
      <c r="D160" t="s">
        <v>31</v>
      </c>
      <c r="E160" t="s">
        <v>26</v>
      </c>
      <c r="G160" t="s">
        <v>20</v>
      </c>
      <c r="H160" t="s">
        <v>21</v>
      </c>
      <c r="I160">
        <v>189719.65</v>
      </c>
      <c r="J160">
        <v>10776.21</v>
      </c>
      <c r="K160">
        <v>164386.09</v>
      </c>
      <c r="L160" t="str">
        <f t="shared" si="24"/>
        <v>Rahul</v>
      </c>
      <c r="M160" t="str">
        <f t="shared" si="25"/>
        <v>South</v>
      </c>
      <c r="N160" t="str">
        <f t="shared" si="26"/>
        <v>Mumbai</v>
      </c>
      <c r="O160" t="str">
        <f t="shared" si="27"/>
        <v>Unknown</v>
      </c>
      <c r="P160" s="4" t="str">
        <f t="shared" si="28"/>
        <v>Online</v>
      </c>
      <c r="Q160">
        <f t="shared" si="29"/>
        <v>10776.21</v>
      </c>
      <c r="R160" s="6">
        <f t="shared" si="30"/>
        <v>178943.44</v>
      </c>
      <c r="S160">
        <f t="shared" si="31"/>
        <v>0.9431992943271823</v>
      </c>
      <c r="T160">
        <f t="shared" si="32"/>
        <v>1.1541101196579346</v>
      </c>
      <c r="U160">
        <f t="shared" si="33"/>
        <v>25333.559999999998</v>
      </c>
      <c r="V160" t="str">
        <f t="shared" si="34"/>
        <v>Profitable</v>
      </c>
      <c r="W160" t="str" cm="1">
        <f t="array" ref="W160">_xlfn.IFS(S160&lt;0,"Loss", S160&lt;0.15,"Low Margin",S160&lt;0.3,"Medium High", TRUE, "High Margin")</f>
        <v>High Margin</v>
      </c>
      <c r="X160" t="str">
        <f t="shared" si="35"/>
        <v>09-2024</v>
      </c>
    </row>
    <row r="161" spans="1:24" x14ac:dyDescent="0.3">
      <c r="A161">
        <v>10112</v>
      </c>
      <c r="B161" s="1">
        <v>45403</v>
      </c>
      <c r="C161" t="s">
        <v>30</v>
      </c>
      <c r="D161" t="s">
        <v>37</v>
      </c>
      <c r="F161" t="s">
        <v>14</v>
      </c>
      <c r="G161" t="s">
        <v>20</v>
      </c>
      <c r="H161" t="s">
        <v>16</v>
      </c>
      <c r="I161">
        <v>179371.18</v>
      </c>
      <c r="J161">
        <v>92682.26</v>
      </c>
      <c r="K161">
        <v>75033.23</v>
      </c>
      <c r="L161" t="str">
        <f t="shared" si="24"/>
        <v>Ankit</v>
      </c>
      <c r="M161" t="str">
        <f t="shared" si="25"/>
        <v>North</v>
      </c>
      <c r="N161" t="str">
        <f t="shared" si="26"/>
        <v>Unknown</v>
      </c>
      <c r="O161" t="str">
        <f t="shared" si="27"/>
        <v>Enterprise</v>
      </c>
      <c r="P161" s="4" t="str">
        <f t="shared" si="28"/>
        <v>direct</v>
      </c>
      <c r="Q161">
        <f t="shared" si="29"/>
        <v>92682.26</v>
      </c>
      <c r="R161" s="6">
        <f t="shared" si="30"/>
        <v>86688.92</v>
      </c>
      <c r="S161">
        <f t="shared" si="31"/>
        <v>0.48329346999891509</v>
      </c>
      <c r="T161">
        <f t="shared" si="32"/>
        <v>2.3905565574079644</v>
      </c>
      <c r="U161">
        <f t="shared" si="33"/>
        <v>104337.95</v>
      </c>
      <c r="V161" t="str">
        <f t="shared" si="34"/>
        <v>Profitable</v>
      </c>
      <c r="W161" t="str" cm="1">
        <f t="array" ref="W161">_xlfn.IFS(S161&lt;0,"Loss", S161&lt;0.15,"Low Margin",S161&lt;0.3,"Medium High", TRUE, "High Margin")</f>
        <v>High Margin</v>
      </c>
      <c r="X161" t="str">
        <f t="shared" si="35"/>
        <v>04-2024</v>
      </c>
    </row>
    <row r="162" spans="1:24" x14ac:dyDescent="0.3">
      <c r="A162">
        <v>10496</v>
      </c>
      <c r="B162" s="1">
        <v>45546</v>
      </c>
      <c r="C162" t="s">
        <v>11</v>
      </c>
      <c r="D162" t="s">
        <v>31</v>
      </c>
      <c r="E162" t="s">
        <v>38</v>
      </c>
      <c r="F162" t="s">
        <v>32</v>
      </c>
      <c r="G162" t="s">
        <v>42</v>
      </c>
      <c r="I162">
        <v>88534.01</v>
      </c>
      <c r="J162">
        <v>71294.490000000005</v>
      </c>
      <c r="K162">
        <v>137280.01999999999</v>
      </c>
      <c r="L162" t="str">
        <f t="shared" si="24"/>
        <v>Rahul</v>
      </c>
      <c r="M162" t="str">
        <f t="shared" si="25"/>
        <v>South</v>
      </c>
      <c r="N162" t="str">
        <f t="shared" si="26"/>
        <v>Delhi</v>
      </c>
      <c r="O162" t="str">
        <f t="shared" si="27"/>
        <v>Smb</v>
      </c>
      <c r="P162" s="4" t="str">
        <f t="shared" si="28"/>
        <v>Unknown</v>
      </c>
      <c r="Q162">
        <f t="shared" si="29"/>
        <v>71294.490000000005</v>
      </c>
      <c r="R162" s="6">
        <f t="shared" si="30"/>
        <v>17239.51999999999</v>
      </c>
      <c r="S162">
        <f t="shared" si="31"/>
        <v>0.19472200570153764</v>
      </c>
      <c r="T162">
        <f t="shared" si="32"/>
        <v>0.64491548005310606</v>
      </c>
      <c r="U162">
        <f t="shared" si="33"/>
        <v>-48746.009999999995</v>
      </c>
      <c r="V162" t="str">
        <f t="shared" si="34"/>
        <v>Profitable</v>
      </c>
      <c r="W162" t="str" cm="1">
        <f t="array" ref="W162">_xlfn.IFS(S162&lt;0,"Loss", S162&lt;0.15,"Low Margin",S162&lt;0.3,"Medium High", TRUE, "High Margin")</f>
        <v>Medium High</v>
      </c>
      <c r="X162" t="str">
        <f t="shared" si="35"/>
        <v>09-2024</v>
      </c>
    </row>
    <row r="163" spans="1:24" x14ac:dyDescent="0.3">
      <c r="A163">
        <v>10441</v>
      </c>
      <c r="B163" s="1">
        <v>45498</v>
      </c>
      <c r="C163" t="s">
        <v>25</v>
      </c>
      <c r="D163" t="s">
        <v>34</v>
      </c>
      <c r="E163" t="s">
        <v>24</v>
      </c>
      <c r="F163" t="s">
        <v>19</v>
      </c>
      <c r="G163" t="s">
        <v>40</v>
      </c>
      <c r="H163" t="s">
        <v>28</v>
      </c>
      <c r="I163">
        <v>157830.18</v>
      </c>
      <c r="J163">
        <v>94489.32</v>
      </c>
      <c r="L163" t="str">
        <f t="shared" si="24"/>
        <v>Priya</v>
      </c>
      <c r="M163" t="str">
        <f t="shared" si="25"/>
        <v>East</v>
      </c>
      <c r="N163" t="str">
        <f t="shared" si="26"/>
        <v>Chennai</v>
      </c>
      <c r="O163" t="str">
        <f t="shared" si="27"/>
        <v>Startup</v>
      </c>
      <c r="P163" s="4" t="str">
        <f t="shared" si="28"/>
        <v>Direct</v>
      </c>
      <c r="Q163">
        <f t="shared" si="29"/>
        <v>94489.32</v>
      </c>
      <c r="R163" s="6">
        <f t="shared" si="30"/>
        <v>63340.859999999986</v>
      </c>
      <c r="S163">
        <f t="shared" si="31"/>
        <v>0.40132286486652924</v>
      </c>
      <c r="T163">
        <f t="shared" si="32"/>
        <v>0</v>
      </c>
      <c r="U163">
        <f t="shared" si="33"/>
        <v>157830.18</v>
      </c>
      <c r="V163" t="str">
        <f t="shared" si="34"/>
        <v>Profitable</v>
      </c>
      <c r="W163" t="str" cm="1">
        <f t="array" ref="W163">_xlfn.IFS(S163&lt;0,"Loss", S163&lt;0.15,"Low Margin",S163&lt;0.3,"Medium High", TRUE, "High Margin")</f>
        <v>High Margin</v>
      </c>
      <c r="X163" t="str">
        <f t="shared" si="35"/>
        <v>07-2024</v>
      </c>
    </row>
    <row r="164" spans="1:24" x14ac:dyDescent="0.3">
      <c r="A164">
        <v>10563</v>
      </c>
      <c r="B164" s="1">
        <v>45520</v>
      </c>
      <c r="C164" t="s">
        <v>36</v>
      </c>
      <c r="D164" t="s">
        <v>12</v>
      </c>
      <c r="E164" t="s">
        <v>24</v>
      </c>
      <c r="F164" t="s">
        <v>32</v>
      </c>
      <c r="G164" t="s">
        <v>20</v>
      </c>
      <c r="H164" t="s">
        <v>16</v>
      </c>
      <c r="I164">
        <v>99456.46</v>
      </c>
      <c r="J164">
        <v>90954.4</v>
      </c>
      <c r="L164" t="str">
        <f t="shared" si="24"/>
        <v>Amit</v>
      </c>
      <c r="M164" t="str">
        <f t="shared" si="25"/>
        <v>South</v>
      </c>
      <c r="N164" t="str">
        <f t="shared" si="26"/>
        <v>Chennai</v>
      </c>
      <c r="O164" t="str">
        <f t="shared" si="27"/>
        <v>Smb</v>
      </c>
      <c r="P164" s="4" t="str">
        <f t="shared" si="28"/>
        <v>direct</v>
      </c>
      <c r="Q164">
        <f t="shared" si="29"/>
        <v>90954.4</v>
      </c>
      <c r="R164" s="6">
        <f t="shared" si="30"/>
        <v>8502.0600000000122</v>
      </c>
      <c r="S164">
        <f t="shared" si="31"/>
        <v>8.5485246508874457E-2</v>
      </c>
      <c r="T164">
        <f t="shared" si="32"/>
        <v>0</v>
      </c>
      <c r="U164">
        <f t="shared" si="33"/>
        <v>99456.46</v>
      </c>
      <c r="V164" t="str">
        <f t="shared" si="34"/>
        <v>Profitable</v>
      </c>
      <c r="W164" t="str" cm="1">
        <f t="array" ref="W164">_xlfn.IFS(S164&lt;0,"Loss", S164&lt;0.15,"Low Margin",S164&lt;0.3,"Medium High", TRUE, "High Margin")</f>
        <v>Low Margin</v>
      </c>
      <c r="X164" t="str">
        <f t="shared" si="35"/>
        <v>08-2024</v>
      </c>
    </row>
    <row r="165" spans="1:24" x14ac:dyDescent="0.3">
      <c r="A165">
        <v>10267</v>
      </c>
      <c r="B165" s="1">
        <v>45357</v>
      </c>
      <c r="C165" t="s">
        <v>22</v>
      </c>
      <c r="D165" t="s">
        <v>34</v>
      </c>
      <c r="E165" t="s">
        <v>13</v>
      </c>
      <c r="F165" t="s">
        <v>39</v>
      </c>
      <c r="G165" t="s">
        <v>43</v>
      </c>
      <c r="H165" t="s">
        <v>28</v>
      </c>
      <c r="I165">
        <v>103527.65</v>
      </c>
      <c r="J165">
        <v>96951.24</v>
      </c>
      <c r="K165">
        <v>151356.96</v>
      </c>
      <c r="L165" t="str">
        <f t="shared" si="24"/>
        <v>Amit</v>
      </c>
      <c r="M165" t="str">
        <f t="shared" si="25"/>
        <v>East</v>
      </c>
      <c r="N165" t="str">
        <f t="shared" si="26"/>
        <v>Bengaluru</v>
      </c>
      <c r="O165" t="str">
        <f t="shared" si="27"/>
        <v>Enterprise</v>
      </c>
      <c r="P165" s="4" t="str">
        <f t="shared" si="28"/>
        <v>Direct</v>
      </c>
      <c r="Q165">
        <f t="shared" si="29"/>
        <v>96951.24</v>
      </c>
      <c r="R165" s="6">
        <f t="shared" si="30"/>
        <v>6576.4099999999889</v>
      </c>
      <c r="S165">
        <f t="shared" si="31"/>
        <v>6.3523223023028041E-2</v>
      </c>
      <c r="T165">
        <f t="shared" si="32"/>
        <v>0.68399662625359281</v>
      </c>
      <c r="U165">
        <f t="shared" si="33"/>
        <v>-47829.31</v>
      </c>
      <c r="V165" t="str">
        <f t="shared" si="34"/>
        <v>Profitable</v>
      </c>
      <c r="W165" t="str" cm="1">
        <f t="array" ref="W165">_xlfn.IFS(S165&lt;0,"Loss", S165&lt;0.15,"Low Margin",S165&lt;0.3,"Medium High", TRUE, "High Margin")</f>
        <v>Low Margin</v>
      </c>
      <c r="X165" t="str">
        <f t="shared" si="35"/>
        <v>03-2024</v>
      </c>
    </row>
    <row r="166" spans="1:24" x14ac:dyDescent="0.3">
      <c r="A166">
        <v>10509</v>
      </c>
      <c r="B166" s="1">
        <v>45366</v>
      </c>
      <c r="C166" t="s">
        <v>11</v>
      </c>
      <c r="E166" t="s">
        <v>26</v>
      </c>
      <c r="F166" t="s">
        <v>32</v>
      </c>
      <c r="G166" t="s">
        <v>42</v>
      </c>
      <c r="H166" t="s">
        <v>33</v>
      </c>
      <c r="I166">
        <v>47298.58</v>
      </c>
      <c r="J166">
        <v>63606.94</v>
      </c>
      <c r="K166">
        <v>110656.84</v>
      </c>
      <c r="L166" t="str">
        <f t="shared" si="24"/>
        <v>Rahul</v>
      </c>
      <c r="M166" t="str">
        <f t="shared" si="25"/>
        <v>Unknown</v>
      </c>
      <c r="N166" t="str">
        <f t="shared" si="26"/>
        <v>Mumbai</v>
      </c>
      <c r="O166" t="str">
        <f t="shared" si="27"/>
        <v>Smb</v>
      </c>
      <c r="P166" s="4" t="str">
        <f t="shared" si="28"/>
        <v>Partner</v>
      </c>
      <c r="Q166">
        <f t="shared" si="29"/>
        <v>63606.94</v>
      </c>
      <c r="R166" s="6">
        <f t="shared" si="30"/>
        <v>-16308.36</v>
      </c>
      <c r="S166">
        <f t="shared" si="31"/>
        <v>-0.34479597484744784</v>
      </c>
      <c r="T166">
        <f t="shared" si="32"/>
        <v>0.42743476137579928</v>
      </c>
      <c r="U166">
        <f t="shared" si="33"/>
        <v>-63358.259999999995</v>
      </c>
      <c r="V166" t="str">
        <f t="shared" si="34"/>
        <v>Unprofitable</v>
      </c>
      <c r="W166" t="str" cm="1">
        <f t="array" ref="W166">_xlfn.IFS(S166&lt;0,"Loss", S166&lt;0.15,"Low Margin",S166&lt;0.3,"Medium High", TRUE, "High Margin")</f>
        <v>Loss</v>
      </c>
      <c r="X166" t="str">
        <f t="shared" si="35"/>
        <v>03-2024</v>
      </c>
    </row>
    <row r="167" spans="1:24" x14ac:dyDescent="0.3">
      <c r="A167">
        <v>10385</v>
      </c>
      <c r="B167" s="1">
        <v>45394</v>
      </c>
      <c r="C167" t="s">
        <v>45</v>
      </c>
      <c r="D167" t="s">
        <v>23</v>
      </c>
      <c r="E167" t="s">
        <v>18</v>
      </c>
      <c r="F167" t="s">
        <v>39</v>
      </c>
      <c r="G167" t="s">
        <v>15</v>
      </c>
      <c r="H167" t="s">
        <v>16</v>
      </c>
      <c r="I167">
        <v>121497.02</v>
      </c>
      <c r="J167">
        <v>19417.97</v>
      </c>
      <c r="K167">
        <v>125124.88</v>
      </c>
      <c r="L167" t="str">
        <f t="shared" si="24"/>
        <v>Rahul</v>
      </c>
      <c r="M167" t="str">
        <f t="shared" si="25"/>
        <v>West</v>
      </c>
      <c r="N167" t="str">
        <f t="shared" si="26"/>
        <v>Bengaluru</v>
      </c>
      <c r="O167" t="str">
        <f t="shared" si="27"/>
        <v>Enterprise</v>
      </c>
      <c r="P167" s="4" t="str">
        <f t="shared" si="28"/>
        <v>direct</v>
      </c>
      <c r="Q167">
        <f t="shared" si="29"/>
        <v>19417.97</v>
      </c>
      <c r="R167" s="6">
        <f t="shared" si="30"/>
        <v>102079.05</v>
      </c>
      <c r="S167">
        <f t="shared" si="31"/>
        <v>0.84017739694356286</v>
      </c>
      <c r="T167">
        <f t="shared" si="32"/>
        <v>0.97100608607976291</v>
      </c>
      <c r="U167">
        <f t="shared" si="33"/>
        <v>-3627.8600000000006</v>
      </c>
      <c r="V167" t="str">
        <f t="shared" si="34"/>
        <v>Profitable</v>
      </c>
      <c r="W167" t="str" cm="1">
        <f t="array" ref="W167">_xlfn.IFS(S167&lt;0,"Loss", S167&lt;0.15,"Low Margin",S167&lt;0.3,"Medium High", TRUE, "High Margin")</f>
        <v>High Margin</v>
      </c>
      <c r="X167" t="str">
        <f t="shared" si="35"/>
        <v>04-2024</v>
      </c>
    </row>
    <row r="168" spans="1:24" x14ac:dyDescent="0.3">
      <c r="A168">
        <v>10386</v>
      </c>
      <c r="B168" s="1">
        <v>45483</v>
      </c>
      <c r="C168" t="s">
        <v>29</v>
      </c>
      <c r="D168" t="s">
        <v>17</v>
      </c>
      <c r="E168" t="s">
        <v>26</v>
      </c>
      <c r="F168" t="s">
        <v>39</v>
      </c>
      <c r="G168" t="s">
        <v>27</v>
      </c>
      <c r="H168" t="s">
        <v>28</v>
      </c>
      <c r="I168">
        <v>43738.09</v>
      </c>
      <c r="J168">
        <v>81525.42</v>
      </c>
      <c r="K168">
        <v>163741.82999999999</v>
      </c>
      <c r="L168" t="str">
        <f t="shared" si="24"/>
        <v>Sneha</v>
      </c>
      <c r="M168" t="str">
        <f t="shared" si="25"/>
        <v>West</v>
      </c>
      <c r="N168" t="str">
        <f t="shared" si="26"/>
        <v>Mumbai</v>
      </c>
      <c r="O168" t="str">
        <f t="shared" si="27"/>
        <v>Enterprise</v>
      </c>
      <c r="P168" s="4" t="str">
        <f t="shared" si="28"/>
        <v>Direct</v>
      </c>
      <c r="Q168">
        <f t="shared" si="29"/>
        <v>81525.42</v>
      </c>
      <c r="R168" s="6">
        <f t="shared" si="30"/>
        <v>-37787.33</v>
      </c>
      <c r="S168">
        <f t="shared" si="31"/>
        <v>-0.86394559067394128</v>
      </c>
      <c r="T168">
        <f t="shared" si="32"/>
        <v>0.26711616695623835</v>
      </c>
      <c r="U168">
        <f t="shared" si="33"/>
        <v>-120003.73999999999</v>
      </c>
      <c r="V168" t="str">
        <f t="shared" si="34"/>
        <v>Unprofitable</v>
      </c>
      <c r="W168" t="str" cm="1">
        <f t="array" ref="W168">_xlfn.IFS(S168&lt;0,"Loss", S168&lt;0.15,"Low Margin",S168&lt;0.3,"Medium High", TRUE, "High Margin")</f>
        <v>Loss</v>
      </c>
      <c r="X168" t="str">
        <f t="shared" si="35"/>
        <v>07-2024</v>
      </c>
    </row>
    <row r="169" spans="1:24" x14ac:dyDescent="0.3">
      <c r="A169">
        <v>10112</v>
      </c>
      <c r="B169" s="1">
        <v>45543</v>
      </c>
      <c r="C169" t="s">
        <v>41</v>
      </c>
      <c r="D169" t="s">
        <v>31</v>
      </c>
      <c r="E169" t="s">
        <v>38</v>
      </c>
      <c r="F169" t="s">
        <v>19</v>
      </c>
      <c r="G169" t="s">
        <v>40</v>
      </c>
      <c r="H169" t="s">
        <v>21</v>
      </c>
      <c r="I169">
        <v>71660.42</v>
      </c>
      <c r="J169">
        <v>75595.429999999993</v>
      </c>
      <c r="K169">
        <v>83923.01</v>
      </c>
      <c r="L169" t="str">
        <f t="shared" si="24"/>
        <v>Neha</v>
      </c>
      <c r="M169" t="str">
        <f t="shared" si="25"/>
        <v>South</v>
      </c>
      <c r="N169" t="str">
        <f t="shared" si="26"/>
        <v>Delhi</v>
      </c>
      <c r="O169" t="str">
        <f t="shared" si="27"/>
        <v>Startup</v>
      </c>
      <c r="P169" s="4" t="str">
        <f t="shared" si="28"/>
        <v>Online</v>
      </c>
      <c r="Q169">
        <f t="shared" si="29"/>
        <v>75595.429999999993</v>
      </c>
      <c r="R169" s="6">
        <f t="shared" si="30"/>
        <v>-3935.0099999999948</v>
      </c>
      <c r="S169">
        <f t="shared" si="31"/>
        <v>-5.4911902553738796E-2</v>
      </c>
      <c r="T169">
        <f t="shared" si="32"/>
        <v>0.85388286239971611</v>
      </c>
      <c r="U169">
        <f t="shared" si="33"/>
        <v>-12262.589999999997</v>
      </c>
      <c r="V169" t="str">
        <f t="shared" si="34"/>
        <v>Unprofitable</v>
      </c>
      <c r="W169" t="str" cm="1">
        <f t="array" ref="W169">_xlfn.IFS(S169&lt;0,"Loss", S169&lt;0.15,"Low Margin",S169&lt;0.3,"Medium High", TRUE, "High Margin")</f>
        <v>Loss</v>
      </c>
      <c r="X169" t="str">
        <f t="shared" si="35"/>
        <v>09-2024</v>
      </c>
    </row>
    <row r="170" spans="1:24" x14ac:dyDescent="0.3">
      <c r="A170">
        <v>10080</v>
      </c>
      <c r="B170" s="1">
        <v>45517</v>
      </c>
      <c r="C170" t="s">
        <v>22</v>
      </c>
      <c r="D170" t="s">
        <v>31</v>
      </c>
      <c r="E170" t="s">
        <v>24</v>
      </c>
      <c r="F170" t="s">
        <v>14</v>
      </c>
      <c r="G170" t="s">
        <v>42</v>
      </c>
      <c r="H170" t="s">
        <v>21</v>
      </c>
      <c r="I170">
        <v>172165.8</v>
      </c>
      <c r="J170">
        <v>89843.62</v>
      </c>
      <c r="K170">
        <v>72287.149999999994</v>
      </c>
      <c r="L170" t="str">
        <f t="shared" si="24"/>
        <v>Amit</v>
      </c>
      <c r="M170" t="str">
        <f t="shared" si="25"/>
        <v>South</v>
      </c>
      <c r="N170" t="str">
        <f t="shared" si="26"/>
        <v>Chennai</v>
      </c>
      <c r="O170" t="str">
        <f t="shared" si="27"/>
        <v>Enterprise</v>
      </c>
      <c r="P170" s="4" t="str">
        <f t="shared" si="28"/>
        <v>Online</v>
      </c>
      <c r="Q170">
        <f t="shared" si="29"/>
        <v>89843.62</v>
      </c>
      <c r="R170" s="6">
        <f t="shared" si="30"/>
        <v>82322.179999999993</v>
      </c>
      <c r="S170">
        <f t="shared" si="31"/>
        <v>0.47815640504676304</v>
      </c>
      <c r="T170">
        <f t="shared" si="32"/>
        <v>2.3816930118285202</v>
      </c>
      <c r="U170">
        <f t="shared" si="33"/>
        <v>99878.65</v>
      </c>
      <c r="V170" t="str">
        <f t="shared" si="34"/>
        <v>Profitable</v>
      </c>
      <c r="W170" t="str" cm="1">
        <f t="array" ref="W170">_xlfn.IFS(S170&lt;0,"Loss", S170&lt;0.15,"Low Margin",S170&lt;0.3,"Medium High", TRUE, "High Margin")</f>
        <v>High Margin</v>
      </c>
      <c r="X170" t="str">
        <f t="shared" si="35"/>
        <v>08-2024</v>
      </c>
    </row>
    <row r="171" spans="1:24" x14ac:dyDescent="0.3">
      <c r="A171">
        <v>10112</v>
      </c>
      <c r="B171" s="1">
        <v>45389</v>
      </c>
      <c r="C171" t="s">
        <v>11</v>
      </c>
      <c r="E171" t="s">
        <v>26</v>
      </c>
      <c r="F171" t="s">
        <v>32</v>
      </c>
      <c r="G171" t="s">
        <v>27</v>
      </c>
      <c r="H171" t="s">
        <v>33</v>
      </c>
      <c r="I171">
        <v>47758.559999999998</v>
      </c>
      <c r="J171">
        <v>22876.080000000002</v>
      </c>
      <c r="K171">
        <v>21729.77</v>
      </c>
      <c r="L171" t="str">
        <f t="shared" si="24"/>
        <v>Rahul</v>
      </c>
      <c r="M171" t="str">
        <f t="shared" si="25"/>
        <v>Unknown</v>
      </c>
      <c r="N171" t="str">
        <f t="shared" si="26"/>
        <v>Mumbai</v>
      </c>
      <c r="O171" t="str">
        <f t="shared" si="27"/>
        <v>Smb</v>
      </c>
      <c r="P171" s="4" t="str">
        <f t="shared" si="28"/>
        <v>Partner</v>
      </c>
      <c r="Q171">
        <f t="shared" si="29"/>
        <v>22876.080000000002</v>
      </c>
      <c r="R171" s="6">
        <f t="shared" si="30"/>
        <v>24882.479999999996</v>
      </c>
      <c r="S171">
        <f t="shared" si="31"/>
        <v>0.52100565846206415</v>
      </c>
      <c r="T171">
        <f t="shared" si="32"/>
        <v>2.1978401059928383</v>
      </c>
      <c r="U171">
        <f t="shared" si="33"/>
        <v>26028.789999999997</v>
      </c>
      <c r="V171" t="str">
        <f t="shared" si="34"/>
        <v>Profitable</v>
      </c>
      <c r="W171" t="str" cm="1">
        <f t="array" ref="W171">_xlfn.IFS(S171&lt;0,"Loss", S171&lt;0.15,"Low Margin",S171&lt;0.3,"Medium High", TRUE, "High Margin")</f>
        <v>High Margin</v>
      </c>
      <c r="X171" t="str">
        <f t="shared" si="35"/>
        <v>04-2024</v>
      </c>
    </row>
    <row r="172" spans="1:24" x14ac:dyDescent="0.3">
      <c r="A172">
        <v>10001</v>
      </c>
      <c r="B172" s="1">
        <v>45540</v>
      </c>
      <c r="C172" t="s">
        <v>29</v>
      </c>
      <c r="D172" t="s">
        <v>31</v>
      </c>
      <c r="E172" t="s">
        <v>18</v>
      </c>
      <c r="F172" t="s">
        <v>39</v>
      </c>
      <c r="G172" t="s">
        <v>27</v>
      </c>
      <c r="H172" t="s">
        <v>16</v>
      </c>
      <c r="I172">
        <v>21662.39</v>
      </c>
      <c r="J172">
        <v>25812.1</v>
      </c>
      <c r="K172">
        <v>152248.17000000001</v>
      </c>
      <c r="L172" t="str">
        <f t="shared" si="24"/>
        <v>Sneha</v>
      </c>
      <c r="M172" t="str">
        <f t="shared" si="25"/>
        <v>South</v>
      </c>
      <c r="N172" t="str">
        <f t="shared" si="26"/>
        <v>Bengaluru</v>
      </c>
      <c r="O172" t="str">
        <f t="shared" si="27"/>
        <v>Enterprise</v>
      </c>
      <c r="P172" s="4" t="str">
        <f t="shared" si="28"/>
        <v>direct</v>
      </c>
      <c r="Q172">
        <f t="shared" si="29"/>
        <v>25812.1</v>
      </c>
      <c r="R172" s="6">
        <f t="shared" si="30"/>
        <v>-4149.7099999999991</v>
      </c>
      <c r="S172">
        <f t="shared" si="31"/>
        <v>-0.19156288849014347</v>
      </c>
      <c r="T172">
        <f t="shared" si="32"/>
        <v>0.14228341792219898</v>
      </c>
      <c r="U172">
        <f t="shared" si="33"/>
        <v>-130585.78000000001</v>
      </c>
      <c r="V172" t="str">
        <f t="shared" si="34"/>
        <v>Unprofitable</v>
      </c>
      <c r="W172" t="str" cm="1">
        <f t="array" ref="W172">_xlfn.IFS(S172&lt;0,"Loss", S172&lt;0.15,"Low Margin",S172&lt;0.3,"Medium High", TRUE, "High Margin")</f>
        <v>Loss</v>
      </c>
      <c r="X172" t="str">
        <f t="shared" si="35"/>
        <v>09-2024</v>
      </c>
    </row>
    <row r="173" spans="1:24" x14ac:dyDescent="0.3">
      <c r="A173">
        <v>10219</v>
      </c>
      <c r="B173" s="1">
        <v>45457</v>
      </c>
      <c r="C173" t="s">
        <v>29</v>
      </c>
      <c r="E173" t="s">
        <v>13</v>
      </c>
      <c r="F173" t="s">
        <v>32</v>
      </c>
      <c r="G173" t="s">
        <v>15</v>
      </c>
      <c r="H173" t="s">
        <v>16</v>
      </c>
      <c r="I173">
        <v>21249.46</v>
      </c>
      <c r="K173">
        <v>148156.91</v>
      </c>
      <c r="L173" t="str">
        <f t="shared" si="24"/>
        <v>Sneha</v>
      </c>
      <c r="M173" t="str">
        <f t="shared" si="25"/>
        <v>Unknown</v>
      </c>
      <c r="N173" t="str">
        <f t="shared" si="26"/>
        <v>Bengaluru</v>
      </c>
      <c r="O173" t="str">
        <f t="shared" si="27"/>
        <v>Smb</v>
      </c>
      <c r="P173" s="4" t="str">
        <f t="shared" si="28"/>
        <v>direct</v>
      </c>
      <c r="Q173">
        <f t="shared" si="29"/>
        <v>0</v>
      </c>
      <c r="R173" s="6">
        <f t="shared" si="30"/>
        <v>21249.46</v>
      </c>
      <c r="S173">
        <f t="shared" si="31"/>
        <v>1</v>
      </c>
      <c r="T173">
        <f t="shared" si="32"/>
        <v>0.143425372464909</v>
      </c>
      <c r="U173">
        <f t="shared" si="33"/>
        <v>-126907.45000000001</v>
      </c>
      <c r="V173" t="str">
        <f t="shared" si="34"/>
        <v>Profitable</v>
      </c>
      <c r="W173" t="str" cm="1">
        <f t="array" ref="W173">_xlfn.IFS(S173&lt;0,"Loss", S173&lt;0.15,"Low Margin",S173&lt;0.3,"Medium High", TRUE, "High Margin")</f>
        <v>High Margin</v>
      </c>
      <c r="X173" t="str">
        <f t="shared" si="35"/>
        <v>06-2024</v>
      </c>
    </row>
    <row r="174" spans="1:24" x14ac:dyDescent="0.3">
      <c r="A174">
        <v>10565</v>
      </c>
      <c r="B174" s="1">
        <v>45321</v>
      </c>
      <c r="C174" t="s">
        <v>30</v>
      </c>
      <c r="D174" t="s">
        <v>34</v>
      </c>
      <c r="E174" t="s">
        <v>26</v>
      </c>
      <c r="F174" t="s">
        <v>14</v>
      </c>
      <c r="G174" t="s">
        <v>20</v>
      </c>
      <c r="H174" t="s">
        <v>16</v>
      </c>
      <c r="I174">
        <v>188630.63</v>
      </c>
      <c r="J174">
        <v>90747.4</v>
      </c>
      <c r="K174">
        <v>36712.720000000001</v>
      </c>
      <c r="L174" t="str">
        <f t="shared" si="24"/>
        <v>Ankit</v>
      </c>
      <c r="M174" t="str">
        <f t="shared" si="25"/>
        <v>East</v>
      </c>
      <c r="N174" t="str">
        <f t="shared" si="26"/>
        <v>Mumbai</v>
      </c>
      <c r="O174" t="str">
        <f t="shared" si="27"/>
        <v>Enterprise</v>
      </c>
      <c r="P174" s="4" t="str">
        <f t="shared" si="28"/>
        <v>direct</v>
      </c>
      <c r="Q174">
        <f t="shared" si="29"/>
        <v>90747.4</v>
      </c>
      <c r="R174" s="6">
        <f t="shared" si="30"/>
        <v>97883.23000000001</v>
      </c>
      <c r="S174">
        <f t="shared" si="31"/>
        <v>0.51891482311223791</v>
      </c>
      <c r="T174">
        <f t="shared" si="32"/>
        <v>5.13801837619223</v>
      </c>
      <c r="U174">
        <f t="shared" si="33"/>
        <v>151917.91</v>
      </c>
      <c r="V174" t="str">
        <f t="shared" si="34"/>
        <v>Profitable</v>
      </c>
      <c r="W174" t="str" cm="1">
        <f t="array" ref="W174">_xlfn.IFS(S174&lt;0,"Loss", S174&lt;0.15,"Low Margin",S174&lt;0.3,"Medium High", TRUE, "High Margin")</f>
        <v>High Margin</v>
      </c>
      <c r="X174" t="str">
        <f t="shared" si="35"/>
        <v>01-2024</v>
      </c>
    </row>
    <row r="175" spans="1:24" x14ac:dyDescent="0.3">
      <c r="A175">
        <v>10224</v>
      </c>
      <c r="B175" s="1">
        <v>45538</v>
      </c>
      <c r="C175" t="s">
        <v>11</v>
      </c>
      <c r="D175" t="s">
        <v>17</v>
      </c>
      <c r="E175" t="s">
        <v>35</v>
      </c>
      <c r="F175" t="s">
        <v>14</v>
      </c>
      <c r="G175" t="s">
        <v>15</v>
      </c>
      <c r="H175" t="s">
        <v>33</v>
      </c>
      <c r="I175">
        <v>105328.72</v>
      </c>
      <c r="J175">
        <v>109262.73</v>
      </c>
      <c r="K175">
        <v>112297.18</v>
      </c>
      <c r="L175" t="str">
        <f t="shared" si="24"/>
        <v>Rahul</v>
      </c>
      <c r="M175" t="str">
        <f t="shared" si="25"/>
        <v>West</v>
      </c>
      <c r="N175" t="str">
        <f t="shared" si="26"/>
        <v>Hyderabad</v>
      </c>
      <c r="O175" t="str">
        <f t="shared" si="27"/>
        <v>Enterprise</v>
      </c>
      <c r="P175" s="4" t="str">
        <f t="shared" si="28"/>
        <v>Partner</v>
      </c>
      <c r="Q175">
        <f t="shared" si="29"/>
        <v>109262.73</v>
      </c>
      <c r="R175" s="6">
        <f t="shared" si="30"/>
        <v>-3934.0099999999948</v>
      </c>
      <c r="S175">
        <f t="shared" si="31"/>
        <v>-3.7349832030618001E-2</v>
      </c>
      <c r="T175">
        <f t="shared" si="32"/>
        <v>0.93794626009308524</v>
      </c>
      <c r="U175">
        <f t="shared" si="33"/>
        <v>-6968.4599999999919</v>
      </c>
      <c r="V175" t="str">
        <f t="shared" si="34"/>
        <v>Unprofitable</v>
      </c>
      <c r="W175" t="str" cm="1">
        <f t="array" ref="W175">_xlfn.IFS(S175&lt;0,"Loss", S175&lt;0.15,"Low Margin",S175&lt;0.3,"Medium High", TRUE, "High Margin")</f>
        <v>Loss</v>
      </c>
      <c r="X175" t="str">
        <f t="shared" si="35"/>
        <v>09-2024</v>
      </c>
    </row>
    <row r="176" spans="1:24" x14ac:dyDescent="0.3">
      <c r="A176">
        <v>10384</v>
      </c>
      <c r="B176" s="1">
        <v>45397</v>
      </c>
      <c r="C176" t="s">
        <v>36</v>
      </c>
      <c r="D176" t="s">
        <v>12</v>
      </c>
      <c r="E176" t="s">
        <v>13</v>
      </c>
      <c r="G176" t="s">
        <v>20</v>
      </c>
      <c r="H176" t="s">
        <v>16</v>
      </c>
      <c r="I176">
        <v>86607.12</v>
      </c>
      <c r="J176">
        <v>91769.69</v>
      </c>
      <c r="K176">
        <v>94237.07</v>
      </c>
      <c r="L176" t="str">
        <f t="shared" si="24"/>
        <v>Amit</v>
      </c>
      <c r="M176" t="str">
        <f t="shared" si="25"/>
        <v>South</v>
      </c>
      <c r="N176" t="str">
        <f t="shared" si="26"/>
        <v>Bengaluru</v>
      </c>
      <c r="O176" t="str">
        <f t="shared" si="27"/>
        <v>Unknown</v>
      </c>
      <c r="P176" s="4" t="str">
        <f t="shared" si="28"/>
        <v>direct</v>
      </c>
      <c r="Q176">
        <f t="shared" si="29"/>
        <v>91769.69</v>
      </c>
      <c r="R176" s="6">
        <f t="shared" si="30"/>
        <v>-5162.570000000007</v>
      </c>
      <c r="S176">
        <f t="shared" si="31"/>
        <v>-5.9609071401981815E-2</v>
      </c>
      <c r="T176">
        <f t="shared" si="32"/>
        <v>0.91903451582270113</v>
      </c>
      <c r="U176">
        <f t="shared" si="33"/>
        <v>-7629.9500000000116</v>
      </c>
      <c r="V176" t="str">
        <f t="shared" si="34"/>
        <v>Unprofitable</v>
      </c>
      <c r="W176" t="str" cm="1">
        <f t="array" ref="W176">_xlfn.IFS(S176&lt;0,"Loss", S176&lt;0.15,"Low Margin",S176&lt;0.3,"Medium High", TRUE, "High Margin")</f>
        <v>Loss</v>
      </c>
      <c r="X176" t="str">
        <f t="shared" si="35"/>
        <v>04-2024</v>
      </c>
    </row>
    <row r="177" spans="1:24" x14ac:dyDescent="0.3">
      <c r="A177">
        <v>10402</v>
      </c>
      <c r="B177" s="1">
        <v>45342</v>
      </c>
      <c r="C177" t="s">
        <v>25</v>
      </c>
      <c r="D177" t="s">
        <v>23</v>
      </c>
      <c r="E177" t="s">
        <v>18</v>
      </c>
      <c r="F177" t="s">
        <v>14</v>
      </c>
      <c r="G177" t="s">
        <v>20</v>
      </c>
      <c r="H177" t="s">
        <v>21</v>
      </c>
      <c r="I177">
        <v>163688.69</v>
      </c>
      <c r="J177">
        <v>72867.17</v>
      </c>
      <c r="K177">
        <v>38993.46</v>
      </c>
      <c r="L177" t="str">
        <f t="shared" si="24"/>
        <v>Priya</v>
      </c>
      <c r="M177" t="str">
        <f t="shared" si="25"/>
        <v>West</v>
      </c>
      <c r="N177" t="str">
        <f t="shared" si="26"/>
        <v>Bengaluru</v>
      </c>
      <c r="O177" t="str">
        <f t="shared" si="27"/>
        <v>Enterprise</v>
      </c>
      <c r="P177" s="4" t="str">
        <f t="shared" si="28"/>
        <v>Online</v>
      </c>
      <c r="Q177">
        <f t="shared" si="29"/>
        <v>72867.17</v>
      </c>
      <c r="R177" s="6">
        <f t="shared" si="30"/>
        <v>90821.52</v>
      </c>
      <c r="S177">
        <f t="shared" si="31"/>
        <v>0.55484297662837911</v>
      </c>
      <c r="T177">
        <f t="shared" si="32"/>
        <v>4.1978498445636783</v>
      </c>
      <c r="U177">
        <f t="shared" si="33"/>
        <v>124695.23000000001</v>
      </c>
      <c r="V177" t="str">
        <f t="shared" si="34"/>
        <v>Profitable</v>
      </c>
      <c r="W177" t="str" cm="1">
        <f t="array" ref="W177">_xlfn.IFS(S177&lt;0,"Loss", S177&lt;0.15,"Low Margin",S177&lt;0.3,"Medium High", TRUE, "High Margin")</f>
        <v>High Margin</v>
      </c>
      <c r="X177" t="str">
        <f t="shared" si="35"/>
        <v>02-2024</v>
      </c>
    </row>
    <row r="178" spans="1:24" x14ac:dyDescent="0.3">
      <c r="A178">
        <v>10129</v>
      </c>
      <c r="B178" s="1">
        <v>45372</v>
      </c>
      <c r="C178" t="s">
        <v>25</v>
      </c>
      <c r="D178" t="s">
        <v>12</v>
      </c>
      <c r="E178" t="s">
        <v>38</v>
      </c>
      <c r="F178" t="s">
        <v>19</v>
      </c>
      <c r="G178" t="s">
        <v>42</v>
      </c>
      <c r="H178" t="s">
        <v>28</v>
      </c>
      <c r="I178">
        <v>168478.58</v>
      </c>
      <c r="J178">
        <v>79533.53</v>
      </c>
      <c r="K178">
        <v>176890.92</v>
      </c>
      <c r="L178" t="str">
        <f t="shared" si="24"/>
        <v>Priya</v>
      </c>
      <c r="M178" t="str">
        <f t="shared" si="25"/>
        <v>South</v>
      </c>
      <c r="N178" t="str">
        <f t="shared" si="26"/>
        <v>Delhi</v>
      </c>
      <c r="O178" t="str">
        <f t="shared" si="27"/>
        <v>Startup</v>
      </c>
      <c r="P178" s="4" t="str">
        <f t="shared" si="28"/>
        <v>Direct</v>
      </c>
      <c r="Q178">
        <f t="shared" si="29"/>
        <v>79533.53</v>
      </c>
      <c r="R178" s="6">
        <f t="shared" si="30"/>
        <v>88945.049999999988</v>
      </c>
      <c r="S178">
        <f t="shared" si="31"/>
        <v>0.52793090967409628</v>
      </c>
      <c r="T178">
        <f t="shared" si="32"/>
        <v>0.95244334757261695</v>
      </c>
      <c r="U178">
        <f t="shared" si="33"/>
        <v>-8412.3400000000256</v>
      </c>
      <c r="V178" t="str">
        <f t="shared" si="34"/>
        <v>Profitable</v>
      </c>
      <c r="W178" t="str" cm="1">
        <f t="array" ref="W178">_xlfn.IFS(S178&lt;0,"Loss", S178&lt;0.15,"Low Margin",S178&lt;0.3,"Medium High", TRUE, "High Margin")</f>
        <v>High Margin</v>
      </c>
      <c r="X178" t="str">
        <f t="shared" si="35"/>
        <v>03-2024</v>
      </c>
    </row>
    <row r="179" spans="1:24" x14ac:dyDescent="0.3">
      <c r="A179">
        <v>10052</v>
      </c>
      <c r="B179" s="1">
        <v>45424</v>
      </c>
      <c r="C179" t="s">
        <v>45</v>
      </c>
      <c r="D179" t="s">
        <v>34</v>
      </c>
      <c r="E179" t="s">
        <v>24</v>
      </c>
      <c r="F179" t="s">
        <v>39</v>
      </c>
      <c r="G179" t="s">
        <v>42</v>
      </c>
      <c r="H179" t="s">
        <v>21</v>
      </c>
      <c r="I179">
        <v>71780.679999999993</v>
      </c>
      <c r="J179">
        <v>107027.97</v>
      </c>
      <c r="L179" t="str">
        <f t="shared" si="24"/>
        <v>Rahul</v>
      </c>
      <c r="M179" t="str">
        <f t="shared" si="25"/>
        <v>East</v>
      </c>
      <c r="N179" t="str">
        <f t="shared" si="26"/>
        <v>Chennai</v>
      </c>
      <c r="O179" t="str">
        <f t="shared" si="27"/>
        <v>Enterprise</v>
      </c>
      <c r="P179" s="4" t="str">
        <f t="shared" si="28"/>
        <v>Online</v>
      </c>
      <c r="Q179">
        <f t="shared" si="29"/>
        <v>107027.97</v>
      </c>
      <c r="R179" s="6">
        <f t="shared" si="30"/>
        <v>-35247.290000000008</v>
      </c>
      <c r="S179">
        <f t="shared" si="31"/>
        <v>-0.49104146129571369</v>
      </c>
      <c r="T179">
        <f t="shared" si="32"/>
        <v>0</v>
      </c>
      <c r="U179">
        <f t="shared" si="33"/>
        <v>71780.679999999993</v>
      </c>
      <c r="V179" t="str">
        <f t="shared" si="34"/>
        <v>Unprofitable</v>
      </c>
      <c r="W179" t="str" cm="1">
        <f t="array" ref="W179">_xlfn.IFS(S179&lt;0,"Loss", S179&lt;0.15,"Low Margin",S179&lt;0.3,"Medium High", TRUE, "High Margin")</f>
        <v>Loss</v>
      </c>
      <c r="X179" t="str">
        <f t="shared" si="35"/>
        <v>05-2024</v>
      </c>
    </row>
    <row r="180" spans="1:24" x14ac:dyDescent="0.3">
      <c r="A180">
        <v>10415</v>
      </c>
      <c r="B180" s="1">
        <v>45429</v>
      </c>
      <c r="C180" t="s">
        <v>45</v>
      </c>
      <c r="D180" t="s">
        <v>23</v>
      </c>
      <c r="E180" t="s">
        <v>26</v>
      </c>
      <c r="G180" t="s">
        <v>40</v>
      </c>
      <c r="H180" t="s">
        <v>21</v>
      </c>
      <c r="I180">
        <v>141174.67000000001</v>
      </c>
      <c r="J180">
        <v>70720.39</v>
      </c>
      <c r="K180">
        <v>30757.47</v>
      </c>
      <c r="L180" t="str">
        <f t="shared" si="24"/>
        <v>Rahul</v>
      </c>
      <c r="M180" t="str">
        <f t="shared" si="25"/>
        <v>West</v>
      </c>
      <c r="N180" t="str">
        <f t="shared" si="26"/>
        <v>Mumbai</v>
      </c>
      <c r="O180" t="str">
        <f t="shared" si="27"/>
        <v>Unknown</v>
      </c>
      <c r="P180" s="4" t="str">
        <f t="shared" si="28"/>
        <v>Online</v>
      </c>
      <c r="Q180">
        <f t="shared" si="29"/>
        <v>70720.39</v>
      </c>
      <c r="R180" s="6">
        <f t="shared" si="30"/>
        <v>70454.280000000013</v>
      </c>
      <c r="S180">
        <f t="shared" si="31"/>
        <v>0.49905751506272339</v>
      </c>
      <c r="T180">
        <f t="shared" si="32"/>
        <v>4.589931161438181</v>
      </c>
      <c r="U180">
        <f t="shared" si="33"/>
        <v>110417.20000000001</v>
      </c>
      <c r="V180" t="str">
        <f t="shared" si="34"/>
        <v>Profitable</v>
      </c>
      <c r="W180" t="str" cm="1">
        <f t="array" ref="W180">_xlfn.IFS(S180&lt;0,"Loss", S180&lt;0.15,"Low Margin",S180&lt;0.3,"Medium High", TRUE, "High Margin")</f>
        <v>High Margin</v>
      </c>
      <c r="X180" t="str">
        <f t="shared" si="35"/>
        <v>05-2024</v>
      </c>
    </row>
    <row r="181" spans="1:24" x14ac:dyDescent="0.3">
      <c r="A181">
        <v>10246</v>
      </c>
      <c r="B181" s="1">
        <v>45475</v>
      </c>
      <c r="C181" t="s">
        <v>25</v>
      </c>
      <c r="D181" t="s">
        <v>31</v>
      </c>
      <c r="E181" t="s">
        <v>18</v>
      </c>
      <c r="F181" t="s">
        <v>19</v>
      </c>
      <c r="G181" t="s">
        <v>20</v>
      </c>
      <c r="H181" t="s">
        <v>28</v>
      </c>
      <c r="I181">
        <v>156055.57999999999</v>
      </c>
      <c r="J181">
        <v>76989.78</v>
      </c>
      <c r="K181">
        <v>115175.58</v>
      </c>
      <c r="L181" t="str">
        <f t="shared" si="24"/>
        <v>Priya</v>
      </c>
      <c r="M181" t="str">
        <f t="shared" si="25"/>
        <v>South</v>
      </c>
      <c r="N181" t="str">
        <f t="shared" si="26"/>
        <v>Bengaluru</v>
      </c>
      <c r="O181" t="str">
        <f t="shared" si="27"/>
        <v>Startup</v>
      </c>
      <c r="P181" s="4" t="str">
        <f t="shared" si="28"/>
        <v>Direct</v>
      </c>
      <c r="Q181">
        <f t="shared" si="29"/>
        <v>76989.78</v>
      </c>
      <c r="R181" s="6">
        <f t="shared" si="30"/>
        <v>79065.799999999988</v>
      </c>
      <c r="S181">
        <f t="shared" si="31"/>
        <v>0.50665154043194094</v>
      </c>
      <c r="T181">
        <f t="shared" si="32"/>
        <v>1.3549363502228509</v>
      </c>
      <c r="U181">
        <f t="shared" si="33"/>
        <v>40879.999999999985</v>
      </c>
      <c r="V181" t="str">
        <f t="shared" si="34"/>
        <v>Profitable</v>
      </c>
      <c r="W181" t="str" cm="1">
        <f t="array" ref="W181">_xlfn.IFS(S181&lt;0,"Loss", S181&lt;0.15,"Low Margin",S181&lt;0.3,"Medium High", TRUE, "High Margin")</f>
        <v>High Margin</v>
      </c>
      <c r="X181" t="str">
        <f t="shared" si="35"/>
        <v>07-2024</v>
      </c>
    </row>
    <row r="182" spans="1:24" x14ac:dyDescent="0.3">
      <c r="A182">
        <v>10438</v>
      </c>
      <c r="B182" s="1">
        <v>45360</v>
      </c>
      <c r="C182" t="s">
        <v>36</v>
      </c>
      <c r="D182" t="s">
        <v>37</v>
      </c>
      <c r="E182" t="s">
        <v>13</v>
      </c>
      <c r="F182" t="s">
        <v>32</v>
      </c>
      <c r="G182" t="s">
        <v>27</v>
      </c>
      <c r="H182" t="s">
        <v>21</v>
      </c>
      <c r="I182">
        <v>133692.93</v>
      </c>
      <c r="J182">
        <v>21307.78</v>
      </c>
      <c r="K182">
        <v>138218.67000000001</v>
      </c>
      <c r="L182" t="str">
        <f t="shared" si="24"/>
        <v>Amit</v>
      </c>
      <c r="M182" t="str">
        <f t="shared" si="25"/>
        <v>North</v>
      </c>
      <c r="N182" t="str">
        <f t="shared" si="26"/>
        <v>Bengaluru</v>
      </c>
      <c r="O182" t="str">
        <f t="shared" si="27"/>
        <v>Smb</v>
      </c>
      <c r="P182" s="4" t="str">
        <f t="shared" si="28"/>
        <v>Online</v>
      </c>
      <c r="Q182">
        <f t="shared" si="29"/>
        <v>21307.78</v>
      </c>
      <c r="R182" s="6">
        <f t="shared" si="30"/>
        <v>112385.15</v>
      </c>
      <c r="S182">
        <f t="shared" si="31"/>
        <v>0.84062148985739182</v>
      </c>
      <c r="T182">
        <f t="shared" si="32"/>
        <v>0.96725666655597231</v>
      </c>
      <c r="U182">
        <f t="shared" si="33"/>
        <v>-4525.7400000000198</v>
      </c>
      <c r="V182" t="str">
        <f t="shared" si="34"/>
        <v>Profitable</v>
      </c>
      <c r="W182" t="str" cm="1">
        <f t="array" ref="W182">_xlfn.IFS(S182&lt;0,"Loss", S182&lt;0.15,"Low Margin",S182&lt;0.3,"Medium High", TRUE, "High Margin")</f>
        <v>High Margin</v>
      </c>
      <c r="X182" t="str">
        <f t="shared" si="35"/>
        <v>03-2024</v>
      </c>
    </row>
    <row r="183" spans="1:24" x14ac:dyDescent="0.3">
      <c r="A183">
        <v>10202</v>
      </c>
      <c r="B183" s="1">
        <v>45325</v>
      </c>
      <c r="C183" t="s">
        <v>41</v>
      </c>
      <c r="D183" t="s">
        <v>34</v>
      </c>
      <c r="E183" t="s">
        <v>35</v>
      </c>
      <c r="F183" t="s">
        <v>39</v>
      </c>
      <c r="G183" t="s">
        <v>43</v>
      </c>
      <c r="H183" t="s">
        <v>33</v>
      </c>
      <c r="I183">
        <v>37106.25</v>
      </c>
      <c r="J183">
        <v>58448.78</v>
      </c>
      <c r="K183">
        <v>25190.95</v>
      </c>
      <c r="L183" t="str">
        <f t="shared" si="24"/>
        <v>Neha</v>
      </c>
      <c r="M183" t="str">
        <f t="shared" si="25"/>
        <v>East</v>
      </c>
      <c r="N183" t="str">
        <f t="shared" si="26"/>
        <v>Hyderabad</v>
      </c>
      <c r="O183" t="str">
        <f t="shared" si="27"/>
        <v>Enterprise</v>
      </c>
      <c r="P183" s="4" t="str">
        <f t="shared" si="28"/>
        <v>Partner</v>
      </c>
      <c r="Q183">
        <f t="shared" si="29"/>
        <v>58448.78</v>
      </c>
      <c r="R183" s="6">
        <f t="shared" si="30"/>
        <v>-21342.53</v>
      </c>
      <c r="S183">
        <f t="shared" si="31"/>
        <v>-0.57517345460670366</v>
      </c>
      <c r="T183">
        <f t="shared" si="32"/>
        <v>1.4729992318669998</v>
      </c>
      <c r="U183">
        <f t="shared" si="33"/>
        <v>11915.3</v>
      </c>
      <c r="V183" t="str">
        <f t="shared" si="34"/>
        <v>Unprofitable</v>
      </c>
      <c r="W183" t="str" cm="1">
        <f t="array" ref="W183">_xlfn.IFS(S183&lt;0,"Loss", S183&lt;0.15,"Low Margin",S183&lt;0.3,"Medium High", TRUE, "High Margin")</f>
        <v>Loss</v>
      </c>
      <c r="X183" t="str">
        <f t="shared" si="35"/>
        <v>02-2024</v>
      </c>
    </row>
    <row r="184" spans="1:24" x14ac:dyDescent="0.3">
      <c r="A184">
        <v>10183</v>
      </c>
      <c r="B184" s="1">
        <v>45553</v>
      </c>
      <c r="D184" t="s">
        <v>34</v>
      </c>
      <c r="E184" t="s">
        <v>18</v>
      </c>
      <c r="F184" t="s">
        <v>14</v>
      </c>
      <c r="G184" t="s">
        <v>40</v>
      </c>
      <c r="H184" t="s">
        <v>28</v>
      </c>
      <c r="I184">
        <v>176169.55</v>
      </c>
      <c r="J184">
        <v>86818.46</v>
      </c>
      <c r="K184">
        <v>125394.82</v>
      </c>
      <c r="L184" t="str">
        <f t="shared" si="24"/>
        <v>Unassigned</v>
      </c>
      <c r="M184" t="str">
        <f t="shared" si="25"/>
        <v>East</v>
      </c>
      <c r="N184" t="str">
        <f t="shared" si="26"/>
        <v>Bengaluru</v>
      </c>
      <c r="O184" t="str">
        <f t="shared" si="27"/>
        <v>Enterprise</v>
      </c>
      <c r="P184" s="4" t="str">
        <f t="shared" si="28"/>
        <v>Direct</v>
      </c>
      <c r="Q184">
        <f t="shared" si="29"/>
        <v>86818.46</v>
      </c>
      <c r="R184" s="6">
        <f t="shared" si="30"/>
        <v>89351.089999999982</v>
      </c>
      <c r="S184">
        <f t="shared" si="31"/>
        <v>0.50718804696952446</v>
      </c>
      <c r="T184">
        <f t="shared" si="32"/>
        <v>1.4049188794242058</v>
      </c>
      <c r="U184">
        <f t="shared" si="33"/>
        <v>50774.729999999981</v>
      </c>
      <c r="V184" t="str">
        <f t="shared" si="34"/>
        <v>Profitable</v>
      </c>
      <c r="W184" t="str" cm="1">
        <f t="array" ref="W184">_xlfn.IFS(S184&lt;0,"Loss", S184&lt;0.15,"Low Margin",S184&lt;0.3,"Medium High", TRUE, "High Margin")</f>
        <v>High Margin</v>
      </c>
      <c r="X184" t="str">
        <f t="shared" si="35"/>
        <v>09-2024</v>
      </c>
    </row>
    <row r="185" spans="1:24" x14ac:dyDescent="0.3">
      <c r="A185">
        <v>10122</v>
      </c>
      <c r="B185" s="1">
        <v>45344</v>
      </c>
      <c r="C185" t="s">
        <v>41</v>
      </c>
      <c r="D185" t="s">
        <v>17</v>
      </c>
      <c r="E185" t="s">
        <v>44</v>
      </c>
      <c r="F185" t="s">
        <v>39</v>
      </c>
      <c r="G185" t="s">
        <v>42</v>
      </c>
      <c r="H185" t="s">
        <v>21</v>
      </c>
      <c r="I185">
        <v>111506.15</v>
      </c>
      <c r="J185">
        <v>34700.300000000003</v>
      </c>
      <c r="K185">
        <v>105166.7</v>
      </c>
      <c r="L185" t="str">
        <f t="shared" si="24"/>
        <v>Neha</v>
      </c>
      <c r="M185" t="str">
        <f t="shared" si="25"/>
        <v>West</v>
      </c>
      <c r="N185" t="str">
        <f t="shared" si="26"/>
        <v>Pune</v>
      </c>
      <c r="O185" t="str">
        <f t="shared" si="27"/>
        <v>Enterprise</v>
      </c>
      <c r="P185" s="4" t="str">
        <f t="shared" si="28"/>
        <v>Online</v>
      </c>
      <c r="Q185">
        <f t="shared" si="29"/>
        <v>34700.300000000003</v>
      </c>
      <c r="R185" s="6">
        <f t="shared" si="30"/>
        <v>76805.849999999991</v>
      </c>
      <c r="S185">
        <f t="shared" si="31"/>
        <v>0.68880371172352373</v>
      </c>
      <c r="T185">
        <f t="shared" si="32"/>
        <v>1.0602800125895364</v>
      </c>
      <c r="U185">
        <f t="shared" si="33"/>
        <v>6339.4499999999971</v>
      </c>
      <c r="V185" t="str">
        <f t="shared" si="34"/>
        <v>Profitable</v>
      </c>
      <c r="W185" t="str" cm="1">
        <f t="array" ref="W185">_xlfn.IFS(S185&lt;0,"Loss", S185&lt;0.15,"Low Margin",S185&lt;0.3,"Medium High", TRUE, "High Margin")</f>
        <v>High Margin</v>
      </c>
      <c r="X185" t="str">
        <f t="shared" si="35"/>
        <v>02-2024</v>
      </c>
    </row>
    <row r="186" spans="1:24" x14ac:dyDescent="0.3">
      <c r="A186">
        <v>10400</v>
      </c>
      <c r="B186" s="1">
        <v>45496</v>
      </c>
      <c r="C186" t="s">
        <v>30</v>
      </c>
      <c r="D186" t="s">
        <v>12</v>
      </c>
      <c r="F186" t="s">
        <v>32</v>
      </c>
      <c r="G186" t="s">
        <v>15</v>
      </c>
      <c r="I186">
        <v>62234.71</v>
      </c>
      <c r="J186">
        <v>26663.74</v>
      </c>
      <c r="K186">
        <v>36522.400000000001</v>
      </c>
      <c r="L186" t="str">
        <f t="shared" si="24"/>
        <v>Ankit</v>
      </c>
      <c r="M186" t="str">
        <f t="shared" si="25"/>
        <v>South</v>
      </c>
      <c r="N186" t="str">
        <f t="shared" si="26"/>
        <v>Unknown</v>
      </c>
      <c r="O186" t="str">
        <f t="shared" si="27"/>
        <v>Smb</v>
      </c>
      <c r="P186" s="4" t="str">
        <f t="shared" si="28"/>
        <v>Unknown</v>
      </c>
      <c r="Q186">
        <f t="shared" si="29"/>
        <v>26663.74</v>
      </c>
      <c r="R186" s="6">
        <f t="shared" si="30"/>
        <v>35570.97</v>
      </c>
      <c r="S186">
        <f t="shared" si="31"/>
        <v>0.57156159320096456</v>
      </c>
      <c r="T186">
        <f t="shared" si="32"/>
        <v>1.7040147963989223</v>
      </c>
      <c r="U186">
        <f t="shared" si="33"/>
        <v>25712.309999999998</v>
      </c>
      <c r="V186" t="str">
        <f t="shared" si="34"/>
        <v>Profitable</v>
      </c>
      <c r="W186" t="str" cm="1">
        <f t="array" ref="W186">_xlfn.IFS(S186&lt;0,"Loss", S186&lt;0.15,"Low Margin",S186&lt;0.3,"Medium High", TRUE, "High Margin")</f>
        <v>High Margin</v>
      </c>
      <c r="X186" t="str">
        <f t="shared" si="35"/>
        <v>07-2024</v>
      </c>
    </row>
    <row r="187" spans="1:24" x14ac:dyDescent="0.3">
      <c r="A187">
        <v>10293</v>
      </c>
      <c r="B187" s="1">
        <v>45417</v>
      </c>
      <c r="D187" t="s">
        <v>34</v>
      </c>
      <c r="E187" t="s">
        <v>35</v>
      </c>
      <c r="G187" t="s">
        <v>40</v>
      </c>
      <c r="H187" t="s">
        <v>21</v>
      </c>
      <c r="I187">
        <v>89643.81</v>
      </c>
      <c r="J187">
        <v>39717.74</v>
      </c>
      <c r="K187">
        <v>47603.82</v>
      </c>
      <c r="L187" t="str">
        <f t="shared" si="24"/>
        <v>Unassigned</v>
      </c>
      <c r="M187" t="str">
        <f t="shared" si="25"/>
        <v>East</v>
      </c>
      <c r="N187" t="str">
        <f t="shared" si="26"/>
        <v>Hyderabad</v>
      </c>
      <c r="O187" t="str">
        <f t="shared" si="27"/>
        <v>Unknown</v>
      </c>
      <c r="P187" s="4" t="str">
        <f t="shared" si="28"/>
        <v>Online</v>
      </c>
      <c r="Q187">
        <f t="shared" si="29"/>
        <v>39717.74</v>
      </c>
      <c r="R187" s="6">
        <f t="shared" si="30"/>
        <v>49926.07</v>
      </c>
      <c r="S187">
        <f t="shared" si="31"/>
        <v>0.55693828720577587</v>
      </c>
      <c r="T187">
        <f t="shared" si="32"/>
        <v>1.883122194815458</v>
      </c>
      <c r="U187">
        <f t="shared" si="33"/>
        <v>42039.99</v>
      </c>
      <c r="V187" t="str">
        <f t="shared" si="34"/>
        <v>Profitable</v>
      </c>
      <c r="W187" t="str" cm="1">
        <f t="array" ref="W187">_xlfn.IFS(S187&lt;0,"Loss", S187&lt;0.15,"Low Margin",S187&lt;0.3,"Medium High", TRUE, "High Margin")</f>
        <v>High Margin</v>
      </c>
      <c r="X187" t="str">
        <f t="shared" si="35"/>
        <v>05-2024</v>
      </c>
    </row>
    <row r="188" spans="1:24" x14ac:dyDescent="0.3">
      <c r="A188">
        <v>10279</v>
      </c>
      <c r="B188" s="1">
        <v>45526</v>
      </c>
      <c r="D188" t="s">
        <v>34</v>
      </c>
      <c r="E188" t="s">
        <v>13</v>
      </c>
      <c r="G188" t="s">
        <v>40</v>
      </c>
      <c r="H188" t="s">
        <v>33</v>
      </c>
      <c r="I188">
        <v>15213.65</v>
      </c>
      <c r="J188">
        <v>31255.57</v>
      </c>
      <c r="K188">
        <v>110875.89</v>
      </c>
      <c r="L188" t="str">
        <f t="shared" si="24"/>
        <v>Unassigned</v>
      </c>
      <c r="M188" t="str">
        <f t="shared" si="25"/>
        <v>East</v>
      </c>
      <c r="N188" t="str">
        <f t="shared" si="26"/>
        <v>Bengaluru</v>
      </c>
      <c r="O188" t="str">
        <f t="shared" si="27"/>
        <v>Unknown</v>
      </c>
      <c r="P188" s="4" t="str">
        <f t="shared" si="28"/>
        <v>Partner</v>
      </c>
      <c r="Q188">
        <f t="shared" si="29"/>
        <v>31255.57</v>
      </c>
      <c r="R188" s="6">
        <f t="shared" si="30"/>
        <v>-16041.92</v>
      </c>
      <c r="S188">
        <f t="shared" si="31"/>
        <v>-1.0544425565199673</v>
      </c>
      <c r="T188">
        <f t="shared" si="32"/>
        <v>0.13721332924588023</v>
      </c>
      <c r="U188">
        <f t="shared" si="33"/>
        <v>-95662.24</v>
      </c>
      <c r="V188" t="str">
        <f t="shared" si="34"/>
        <v>Unprofitable</v>
      </c>
      <c r="W188" t="str" cm="1">
        <f t="array" ref="W188">_xlfn.IFS(S188&lt;0,"Loss", S188&lt;0.15,"Low Margin",S188&lt;0.3,"Medium High", TRUE, "High Margin")</f>
        <v>Loss</v>
      </c>
      <c r="X188" t="str">
        <f t="shared" si="35"/>
        <v>08-2024</v>
      </c>
    </row>
    <row r="189" spans="1:24" x14ac:dyDescent="0.3">
      <c r="A189">
        <v>10197</v>
      </c>
      <c r="B189" s="1">
        <v>45334</v>
      </c>
      <c r="C189" t="s">
        <v>11</v>
      </c>
      <c r="D189" t="s">
        <v>31</v>
      </c>
      <c r="E189" t="s">
        <v>38</v>
      </c>
      <c r="G189" t="s">
        <v>40</v>
      </c>
      <c r="H189" t="s">
        <v>16</v>
      </c>
      <c r="I189">
        <v>32550.43</v>
      </c>
      <c r="J189">
        <v>28144.78</v>
      </c>
      <c r="K189">
        <v>67417.22</v>
      </c>
      <c r="L189" t="str">
        <f t="shared" si="24"/>
        <v>Rahul</v>
      </c>
      <c r="M189" t="str">
        <f t="shared" si="25"/>
        <v>South</v>
      </c>
      <c r="N189" t="str">
        <f t="shared" si="26"/>
        <v>Delhi</v>
      </c>
      <c r="O189" t="str">
        <f t="shared" si="27"/>
        <v>Unknown</v>
      </c>
      <c r="P189" s="4" t="str">
        <f t="shared" si="28"/>
        <v>direct</v>
      </c>
      <c r="Q189">
        <f t="shared" si="29"/>
        <v>28144.78</v>
      </c>
      <c r="R189" s="6">
        <f t="shared" si="30"/>
        <v>4405.6500000000015</v>
      </c>
      <c r="S189">
        <f t="shared" si="31"/>
        <v>0.13534844240152899</v>
      </c>
      <c r="T189">
        <f t="shared" si="32"/>
        <v>0.48282070960505341</v>
      </c>
      <c r="U189">
        <f t="shared" si="33"/>
        <v>-34866.79</v>
      </c>
      <c r="V189" t="str">
        <f t="shared" si="34"/>
        <v>Profitable</v>
      </c>
      <c r="W189" t="str" cm="1">
        <f t="array" ref="W189">_xlfn.IFS(S189&lt;0,"Loss", S189&lt;0.15,"Low Margin",S189&lt;0.3,"Medium High", TRUE, "High Margin")</f>
        <v>Low Margin</v>
      </c>
      <c r="X189" t="str">
        <f t="shared" si="35"/>
        <v>02-2024</v>
      </c>
    </row>
    <row r="190" spans="1:24" x14ac:dyDescent="0.3">
      <c r="A190">
        <v>10510</v>
      </c>
      <c r="B190" s="1">
        <v>45531</v>
      </c>
      <c r="C190" t="s">
        <v>36</v>
      </c>
      <c r="D190" t="s">
        <v>31</v>
      </c>
      <c r="E190" t="s">
        <v>24</v>
      </c>
      <c r="F190" t="s">
        <v>14</v>
      </c>
      <c r="G190" t="s">
        <v>40</v>
      </c>
      <c r="H190" t="s">
        <v>21</v>
      </c>
      <c r="I190">
        <v>154984.98000000001</v>
      </c>
      <c r="J190">
        <v>52707.55</v>
      </c>
      <c r="K190">
        <v>170130.52</v>
      </c>
      <c r="L190" t="str">
        <f t="shared" si="24"/>
        <v>Amit</v>
      </c>
      <c r="M190" t="str">
        <f t="shared" si="25"/>
        <v>South</v>
      </c>
      <c r="N190" t="str">
        <f t="shared" si="26"/>
        <v>Chennai</v>
      </c>
      <c r="O190" t="str">
        <f t="shared" si="27"/>
        <v>Enterprise</v>
      </c>
      <c r="P190" s="4" t="str">
        <f t="shared" si="28"/>
        <v>Online</v>
      </c>
      <c r="Q190">
        <f t="shared" si="29"/>
        <v>52707.55</v>
      </c>
      <c r="R190" s="6">
        <f t="shared" si="30"/>
        <v>102277.43000000001</v>
      </c>
      <c r="S190">
        <f t="shared" si="31"/>
        <v>0.65991833531223476</v>
      </c>
      <c r="T190">
        <f t="shared" si="32"/>
        <v>0.9109769370010744</v>
      </c>
      <c r="U190">
        <f t="shared" si="33"/>
        <v>-15145.539999999979</v>
      </c>
      <c r="V190" t="str">
        <f t="shared" si="34"/>
        <v>Profitable</v>
      </c>
      <c r="W190" t="str" cm="1">
        <f t="array" ref="W190">_xlfn.IFS(S190&lt;0,"Loss", S190&lt;0.15,"Low Margin",S190&lt;0.3,"Medium High", TRUE, "High Margin")</f>
        <v>High Margin</v>
      </c>
      <c r="X190" t="str">
        <f t="shared" si="35"/>
        <v>08-2024</v>
      </c>
    </row>
    <row r="191" spans="1:24" x14ac:dyDescent="0.3">
      <c r="A191">
        <v>10143</v>
      </c>
      <c r="B191" s="1">
        <v>45402</v>
      </c>
      <c r="C191" t="s">
        <v>36</v>
      </c>
      <c r="D191" t="s">
        <v>23</v>
      </c>
      <c r="E191" t="s">
        <v>13</v>
      </c>
      <c r="F191" t="s">
        <v>19</v>
      </c>
      <c r="G191" t="s">
        <v>43</v>
      </c>
      <c r="H191" t="s">
        <v>16</v>
      </c>
      <c r="I191">
        <v>8002.23</v>
      </c>
      <c r="J191">
        <v>109217.11</v>
      </c>
      <c r="K191">
        <v>150998.44</v>
      </c>
      <c r="L191" t="str">
        <f t="shared" si="24"/>
        <v>Amit</v>
      </c>
      <c r="M191" t="str">
        <f t="shared" si="25"/>
        <v>West</v>
      </c>
      <c r="N191" t="str">
        <f t="shared" si="26"/>
        <v>Bengaluru</v>
      </c>
      <c r="O191" t="str">
        <f t="shared" si="27"/>
        <v>Startup</v>
      </c>
      <c r="P191" s="4" t="str">
        <f t="shared" si="28"/>
        <v>direct</v>
      </c>
      <c r="Q191">
        <f t="shared" si="29"/>
        <v>109217.11</v>
      </c>
      <c r="R191" s="6">
        <f t="shared" si="30"/>
        <v>-101214.88</v>
      </c>
      <c r="S191">
        <f t="shared" si="31"/>
        <v>-12.648334276820338</v>
      </c>
      <c r="T191">
        <f t="shared" si="32"/>
        <v>5.2995448164894945E-2</v>
      </c>
      <c r="U191">
        <f t="shared" si="33"/>
        <v>-142996.21</v>
      </c>
      <c r="V191" t="str">
        <f t="shared" si="34"/>
        <v>Unprofitable</v>
      </c>
      <c r="W191" t="str" cm="1">
        <f t="array" ref="W191">_xlfn.IFS(S191&lt;0,"Loss", S191&lt;0.15,"Low Margin",S191&lt;0.3,"Medium High", TRUE, "High Margin")</f>
        <v>Loss</v>
      </c>
      <c r="X191" t="str">
        <f t="shared" si="35"/>
        <v>04-2024</v>
      </c>
    </row>
    <row r="192" spans="1:24" x14ac:dyDescent="0.3">
      <c r="A192">
        <v>10200</v>
      </c>
      <c r="B192" s="1">
        <v>45540</v>
      </c>
      <c r="F192" t="s">
        <v>19</v>
      </c>
      <c r="G192" t="s">
        <v>15</v>
      </c>
      <c r="I192">
        <v>87980.64</v>
      </c>
      <c r="K192">
        <v>177370.75</v>
      </c>
      <c r="L192" t="str">
        <f t="shared" si="24"/>
        <v>Unassigned</v>
      </c>
      <c r="M192" t="str">
        <f t="shared" si="25"/>
        <v>Unknown</v>
      </c>
      <c r="N192" t="str">
        <f t="shared" si="26"/>
        <v>Unknown</v>
      </c>
      <c r="O192" t="str">
        <f t="shared" si="27"/>
        <v>Startup</v>
      </c>
      <c r="P192" s="4" t="str">
        <f t="shared" si="28"/>
        <v>Unknown</v>
      </c>
      <c r="Q192">
        <f t="shared" si="29"/>
        <v>0</v>
      </c>
      <c r="R192" s="6">
        <f t="shared" si="30"/>
        <v>87980.64</v>
      </c>
      <c r="S192">
        <f t="shared" si="31"/>
        <v>1</v>
      </c>
      <c r="T192">
        <f t="shared" si="32"/>
        <v>0.49602676878797658</v>
      </c>
      <c r="U192">
        <f t="shared" si="33"/>
        <v>-89390.11</v>
      </c>
      <c r="V192" t="str">
        <f t="shared" si="34"/>
        <v>Profitable</v>
      </c>
      <c r="W192" t="str" cm="1">
        <f t="array" ref="W192">_xlfn.IFS(S192&lt;0,"Loss", S192&lt;0.15,"Low Margin",S192&lt;0.3,"Medium High", TRUE, "High Margin")</f>
        <v>High Margin</v>
      </c>
      <c r="X192" t="str">
        <f t="shared" si="35"/>
        <v>09-2024</v>
      </c>
    </row>
    <row r="193" spans="1:24" x14ac:dyDescent="0.3">
      <c r="A193">
        <v>10123</v>
      </c>
      <c r="B193" s="1">
        <v>45442</v>
      </c>
      <c r="C193" t="s">
        <v>11</v>
      </c>
      <c r="E193" t="s">
        <v>38</v>
      </c>
      <c r="F193" t="s">
        <v>39</v>
      </c>
      <c r="G193" t="s">
        <v>15</v>
      </c>
      <c r="H193" t="s">
        <v>21</v>
      </c>
      <c r="I193">
        <v>108321.95</v>
      </c>
      <c r="J193">
        <v>24986.68</v>
      </c>
      <c r="K193">
        <v>61547.33</v>
      </c>
      <c r="L193" t="str">
        <f t="shared" si="24"/>
        <v>Rahul</v>
      </c>
      <c r="M193" t="str">
        <f t="shared" si="25"/>
        <v>Unknown</v>
      </c>
      <c r="N193" t="str">
        <f t="shared" si="26"/>
        <v>Delhi</v>
      </c>
      <c r="O193" t="str">
        <f t="shared" si="27"/>
        <v>Enterprise</v>
      </c>
      <c r="P193" s="4" t="str">
        <f t="shared" si="28"/>
        <v>Online</v>
      </c>
      <c r="Q193">
        <f t="shared" si="29"/>
        <v>24986.68</v>
      </c>
      <c r="R193" s="6">
        <f t="shared" si="30"/>
        <v>83335.26999999999</v>
      </c>
      <c r="S193">
        <f t="shared" si="31"/>
        <v>0.76932948492895481</v>
      </c>
      <c r="T193">
        <f t="shared" si="32"/>
        <v>1.7599780526628854</v>
      </c>
      <c r="U193">
        <f t="shared" si="33"/>
        <v>46774.619999999995</v>
      </c>
      <c r="V193" t="str">
        <f t="shared" si="34"/>
        <v>Profitable</v>
      </c>
      <c r="W193" t="str" cm="1">
        <f t="array" ref="W193">_xlfn.IFS(S193&lt;0,"Loss", S193&lt;0.15,"Low Margin",S193&lt;0.3,"Medium High", TRUE, "High Margin")</f>
        <v>High Margin</v>
      </c>
      <c r="X193" t="str">
        <f t="shared" si="35"/>
        <v>05-2024</v>
      </c>
    </row>
    <row r="194" spans="1:24" x14ac:dyDescent="0.3">
      <c r="A194">
        <v>10186</v>
      </c>
      <c r="B194" s="1">
        <v>45474</v>
      </c>
      <c r="D194" t="s">
        <v>37</v>
      </c>
      <c r="E194" t="s">
        <v>26</v>
      </c>
      <c r="F194" t="s">
        <v>14</v>
      </c>
      <c r="G194" t="s">
        <v>15</v>
      </c>
      <c r="H194" t="s">
        <v>28</v>
      </c>
      <c r="I194">
        <v>18489.810000000001</v>
      </c>
      <c r="J194">
        <v>12005.69</v>
      </c>
      <c r="K194">
        <v>175155.78</v>
      </c>
      <c r="L194" t="str">
        <f t="shared" si="24"/>
        <v>Unassigned</v>
      </c>
      <c r="M194" t="str">
        <f t="shared" si="25"/>
        <v>North</v>
      </c>
      <c r="N194" t="str">
        <f t="shared" si="26"/>
        <v>Mumbai</v>
      </c>
      <c r="O194" t="str">
        <f t="shared" si="27"/>
        <v>Enterprise</v>
      </c>
      <c r="P194" s="4" t="str">
        <f t="shared" si="28"/>
        <v>Direct</v>
      </c>
      <c r="Q194">
        <f t="shared" si="29"/>
        <v>12005.69</v>
      </c>
      <c r="R194" s="6">
        <f t="shared" si="30"/>
        <v>6484.1200000000008</v>
      </c>
      <c r="S194">
        <f t="shared" si="31"/>
        <v>0.35068613468716014</v>
      </c>
      <c r="T194">
        <f t="shared" si="32"/>
        <v>0.10556208878747822</v>
      </c>
      <c r="U194">
        <f t="shared" si="33"/>
        <v>-156665.97</v>
      </c>
      <c r="V194" t="str">
        <f t="shared" si="34"/>
        <v>Profitable</v>
      </c>
      <c r="W194" t="str" cm="1">
        <f t="array" ref="W194">_xlfn.IFS(S194&lt;0,"Loss", S194&lt;0.15,"Low Margin",S194&lt;0.3,"Medium High", TRUE, "High Margin")</f>
        <v>High Margin</v>
      </c>
      <c r="X194" t="str">
        <f t="shared" si="35"/>
        <v>07-2024</v>
      </c>
    </row>
    <row r="195" spans="1:24" x14ac:dyDescent="0.3">
      <c r="A195">
        <v>10325</v>
      </c>
      <c r="B195" s="1">
        <v>45386</v>
      </c>
      <c r="C195" t="s">
        <v>22</v>
      </c>
      <c r="E195" t="s">
        <v>18</v>
      </c>
      <c r="G195" t="s">
        <v>20</v>
      </c>
      <c r="H195" t="s">
        <v>16</v>
      </c>
      <c r="I195">
        <v>194831.01</v>
      </c>
      <c r="J195">
        <v>84450.27</v>
      </c>
      <c r="L195" t="str">
        <f t="shared" ref="L195:L258" si="36">IF(TRIM(C195)="","Unassigned", PROPER(TRIM(C195)))</f>
        <v>Amit</v>
      </c>
      <c r="M195" t="str">
        <f t="shared" ref="M195:M258" si="37">IF(TRIM(D195)="","Unknown",PROPER(TRIM(D195)))</f>
        <v>Unknown</v>
      </c>
      <c r="N195" t="str">
        <f t="shared" ref="N195:N258" si="38">IF(TRIM(E195)="","Unknown", PROPER(TRIM(E195)))</f>
        <v>Bengaluru</v>
      </c>
      <c r="O195" t="str">
        <f t="shared" ref="O195:O258" si="39">IF(TRIM(F195)="","Unknown",PROPER(TRIM(F195)))</f>
        <v>Unknown</v>
      </c>
      <c r="P195" s="4" t="str">
        <f t="shared" ref="P195:P258" si="40">IF(TRIM(H195)="","Unknown",TRIM(H195))</f>
        <v>direct</v>
      </c>
      <c r="Q195">
        <f t="shared" ref="Q195:Q258" si="41">IFERROR(J195,0)</f>
        <v>84450.27</v>
      </c>
      <c r="R195" s="6">
        <f t="shared" ref="R195:R258" si="42">I195-Q195</f>
        <v>110380.74</v>
      </c>
      <c r="S195">
        <f t="shared" ref="S195:S258" si="43">IFERROR(R195/I195,0)</f>
        <v>0.56654605444995643</v>
      </c>
      <c r="T195">
        <f t="shared" ref="T195:T258" si="44">IFERROR(I195/K195,0)</f>
        <v>0</v>
      </c>
      <c r="U195">
        <f t="shared" ref="U195:U258" si="45">I195-K195</f>
        <v>194831.01</v>
      </c>
      <c r="V195" t="str">
        <f t="shared" ref="V195:V258" si="46">IF(R195&lt;0,"Unprofitable","Profitable")</f>
        <v>Profitable</v>
      </c>
      <c r="W195" t="str" cm="1">
        <f t="array" ref="W195">_xlfn.IFS(S195&lt;0,"Loss", S195&lt;0.15,"Low Margin",S195&lt;0.3,"Medium High", TRUE, "High Margin")</f>
        <v>High Margin</v>
      </c>
      <c r="X195" t="str">
        <f t="shared" ref="X195:X258" si="47">TEXT(B195,"MM-YYYY")</f>
        <v>04-2024</v>
      </c>
    </row>
    <row r="196" spans="1:24" x14ac:dyDescent="0.3">
      <c r="A196">
        <v>10463</v>
      </c>
      <c r="B196" s="1">
        <v>45299</v>
      </c>
      <c r="C196" t="s">
        <v>45</v>
      </c>
      <c r="D196" t="s">
        <v>17</v>
      </c>
      <c r="E196" t="s">
        <v>44</v>
      </c>
      <c r="G196" t="s">
        <v>27</v>
      </c>
      <c r="I196">
        <v>51416.06</v>
      </c>
      <c r="J196">
        <v>47787.46</v>
      </c>
      <c r="K196">
        <v>75603.009999999995</v>
      </c>
      <c r="L196" t="str">
        <f t="shared" si="36"/>
        <v>Rahul</v>
      </c>
      <c r="M196" t="str">
        <f t="shared" si="37"/>
        <v>West</v>
      </c>
      <c r="N196" t="str">
        <f t="shared" si="38"/>
        <v>Pune</v>
      </c>
      <c r="O196" t="str">
        <f t="shared" si="39"/>
        <v>Unknown</v>
      </c>
      <c r="P196" s="4" t="str">
        <f t="shared" si="40"/>
        <v>Unknown</v>
      </c>
      <c r="Q196">
        <f t="shared" si="41"/>
        <v>47787.46</v>
      </c>
      <c r="R196" s="6">
        <f t="shared" si="42"/>
        <v>3628.5999999999985</v>
      </c>
      <c r="S196">
        <f t="shared" si="43"/>
        <v>7.0573280021845292E-2</v>
      </c>
      <c r="T196">
        <f t="shared" si="44"/>
        <v>0.6800795365158081</v>
      </c>
      <c r="U196">
        <f t="shared" si="45"/>
        <v>-24186.949999999997</v>
      </c>
      <c r="V196" t="str">
        <f t="shared" si="46"/>
        <v>Profitable</v>
      </c>
      <c r="W196" t="str" cm="1">
        <f t="array" ref="W196">_xlfn.IFS(S196&lt;0,"Loss", S196&lt;0.15,"Low Margin",S196&lt;0.3,"Medium High", TRUE, "High Margin")</f>
        <v>Low Margin</v>
      </c>
      <c r="X196" t="str">
        <f t="shared" si="47"/>
        <v>01-2024</v>
      </c>
    </row>
    <row r="197" spans="1:24" x14ac:dyDescent="0.3">
      <c r="A197">
        <v>10348</v>
      </c>
      <c r="B197" s="1">
        <v>45475</v>
      </c>
      <c r="C197" t="s">
        <v>45</v>
      </c>
      <c r="D197" t="s">
        <v>37</v>
      </c>
      <c r="E197" t="s">
        <v>35</v>
      </c>
      <c r="F197" t="s">
        <v>32</v>
      </c>
      <c r="G197" t="s">
        <v>15</v>
      </c>
      <c r="H197" t="s">
        <v>28</v>
      </c>
      <c r="I197">
        <v>66406.149999999994</v>
      </c>
      <c r="J197">
        <v>99154.22</v>
      </c>
      <c r="K197">
        <v>28055.919999999998</v>
      </c>
      <c r="L197" t="str">
        <f t="shared" si="36"/>
        <v>Rahul</v>
      </c>
      <c r="M197" t="str">
        <f t="shared" si="37"/>
        <v>North</v>
      </c>
      <c r="N197" t="str">
        <f t="shared" si="38"/>
        <v>Hyderabad</v>
      </c>
      <c r="O197" t="str">
        <f t="shared" si="39"/>
        <v>Smb</v>
      </c>
      <c r="P197" s="4" t="str">
        <f t="shared" si="40"/>
        <v>Direct</v>
      </c>
      <c r="Q197">
        <f t="shared" si="41"/>
        <v>99154.22</v>
      </c>
      <c r="R197" s="6">
        <f t="shared" si="42"/>
        <v>-32748.070000000007</v>
      </c>
      <c r="S197">
        <f t="shared" si="43"/>
        <v>-0.49314814968191967</v>
      </c>
      <c r="T197">
        <f t="shared" si="44"/>
        <v>2.3669211346482308</v>
      </c>
      <c r="U197">
        <f t="shared" si="45"/>
        <v>38350.229999999996</v>
      </c>
      <c r="V197" t="str">
        <f t="shared" si="46"/>
        <v>Unprofitable</v>
      </c>
      <c r="W197" t="str" cm="1">
        <f t="array" ref="W197">_xlfn.IFS(S197&lt;0,"Loss", S197&lt;0.15,"Low Margin",S197&lt;0.3,"Medium High", TRUE, "High Margin")</f>
        <v>Loss</v>
      </c>
      <c r="X197" t="str">
        <f t="shared" si="47"/>
        <v>07-2024</v>
      </c>
    </row>
    <row r="198" spans="1:24" x14ac:dyDescent="0.3">
      <c r="A198">
        <v>10402</v>
      </c>
      <c r="B198" s="1">
        <v>45486</v>
      </c>
      <c r="C198" t="s">
        <v>41</v>
      </c>
      <c r="D198" t="s">
        <v>23</v>
      </c>
      <c r="E198" t="s">
        <v>35</v>
      </c>
      <c r="F198" t="s">
        <v>32</v>
      </c>
      <c r="G198" t="s">
        <v>40</v>
      </c>
      <c r="H198" t="s">
        <v>28</v>
      </c>
      <c r="I198">
        <v>66356.960000000006</v>
      </c>
      <c r="J198">
        <v>80162.759999999995</v>
      </c>
      <c r="K198">
        <v>28442.44</v>
      </c>
      <c r="L198" t="str">
        <f t="shared" si="36"/>
        <v>Neha</v>
      </c>
      <c r="M198" t="str">
        <f t="shared" si="37"/>
        <v>West</v>
      </c>
      <c r="N198" t="str">
        <f t="shared" si="38"/>
        <v>Hyderabad</v>
      </c>
      <c r="O198" t="str">
        <f t="shared" si="39"/>
        <v>Smb</v>
      </c>
      <c r="P198" s="4" t="str">
        <f t="shared" si="40"/>
        <v>Direct</v>
      </c>
      <c r="Q198">
        <f t="shared" si="41"/>
        <v>80162.759999999995</v>
      </c>
      <c r="R198" s="6">
        <f t="shared" si="42"/>
        <v>-13805.799999999988</v>
      </c>
      <c r="S198">
        <f t="shared" si="43"/>
        <v>-0.20805353349520514</v>
      </c>
      <c r="T198">
        <f t="shared" si="44"/>
        <v>2.3330262804457007</v>
      </c>
      <c r="U198">
        <f t="shared" si="45"/>
        <v>37914.520000000004</v>
      </c>
      <c r="V198" t="str">
        <f t="shared" si="46"/>
        <v>Unprofitable</v>
      </c>
      <c r="W198" t="str" cm="1">
        <f t="array" ref="W198">_xlfn.IFS(S198&lt;0,"Loss", S198&lt;0.15,"Low Margin",S198&lt;0.3,"Medium High", TRUE, "High Margin")</f>
        <v>Loss</v>
      </c>
      <c r="X198" t="str">
        <f t="shared" si="47"/>
        <v>07-2024</v>
      </c>
    </row>
    <row r="199" spans="1:24" x14ac:dyDescent="0.3">
      <c r="A199">
        <v>10345</v>
      </c>
      <c r="B199" s="1">
        <v>45486</v>
      </c>
      <c r="C199" t="s">
        <v>30</v>
      </c>
      <c r="D199" t="s">
        <v>31</v>
      </c>
      <c r="E199" t="s">
        <v>18</v>
      </c>
      <c r="G199" t="s">
        <v>40</v>
      </c>
      <c r="H199" t="s">
        <v>28</v>
      </c>
      <c r="I199">
        <v>52240</v>
      </c>
      <c r="J199">
        <v>96160.25</v>
      </c>
      <c r="K199">
        <v>130721.8</v>
      </c>
      <c r="L199" t="str">
        <f t="shared" si="36"/>
        <v>Ankit</v>
      </c>
      <c r="M199" t="str">
        <f t="shared" si="37"/>
        <v>South</v>
      </c>
      <c r="N199" t="str">
        <f t="shared" si="38"/>
        <v>Bengaluru</v>
      </c>
      <c r="O199" t="str">
        <f t="shared" si="39"/>
        <v>Unknown</v>
      </c>
      <c r="P199" s="4" t="str">
        <f t="shared" si="40"/>
        <v>Direct</v>
      </c>
      <c r="Q199">
        <f t="shared" si="41"/>
        <v>96160.25</v>
      </c>
      <c r="R199" s="6">
        <f t="shared" si="42"/>
        <v>-43920.25</v>
      </c>
      <c r="S199">
        <f t="shared" si="43"/>
        <v>-0.84073985451761102</v>
      </c>
      <c r="T199">
        <f t="shared" si="44"/>
        <v>0.39962730011367653</v>
      </c>
      <c r="U199">
        <f t="shared" si="45"/>
        <v>-78481.8</v>
      </c>
      <c r="V199" t="str">
        <f t="shared" si="46"/>
        <v>Unprofitable</v>
      </c>
      <c r="W199" t="str" cm="1">
        <f t="array" ref="W199">_xlfn.IFS(S199&lt;0,"Loss", S199&lt;0.15,"Low Margin",S199&lt;0.3,"Medium High", TRUE, "High Margin")</f>
        <v>Loss</v>
      </c>
      <c r="X199" t="str">
        <f t="shared" si="47"/>
        <v>07-2024</v>
      </c>
    </row>
    <row r="200" spans="1:24" x14ac:dyDescent="0.3">
      <c r="A200">
        <v>10510</v>
      </c>
      <c r="B200" s="1">
        <v>45446</v>
      </c>
      <c r="C200" t="s">
        <v>45</v>
      </c>
      <c r="E200" t="s">
        <v>44</v>
      </c>
      <c r="G200" t="s">
        <v>15</v>
      </c>
      <c r="H200" t="s">
        <v>28</v>
      </c>
      <c r="I200">
        <v>8282.9699999999993</v>
      </c>
      <c r="J200">
        <v>34817.69</v>
      </c>
      <c r="K200">
        <v>93268.64</v>
      </c>
      <c r="L200" t="str">
        <f t="shared" si="36"/>
        <v>Rahul</v>
      </c>
      <c r="M200" t="str">
        <f t="shared" si="37"/>
        <v>Unknown</v>
      </c>
      <c r="N200" t="str">
        <f t="shared" si="38"/>
        <v>Pune</v>
      </c>
      <c r="O200" t="str">
        <f t="shared" si="39"/>
        <v>Unknown</v>
      </c>
      <c r="P200" s="4" t="str">
        <f t="shared" si="40"/>
        <v>Direct</v>
      </c>
      <c r="Q200">
        <f t="shared" si="41"/>
        <v>34817.69</v>
      </c>
      <c r="R200" s="6">
        <f t="shared" si="42"/>
        <v>-26534.720000000001</v>
      </c>
      <c r="S200">
        <f t="shared" si="43"/>
        <v>-3.2035272372108077</v>
      </c>
      <c r="T200">
        <f t="shared" si="44"/>
        <v>8.8807663540499779E-2</v>
      </c>
      <c r="U200">
        <f t="shared" si="45"/>
        <v>-84985.67</v>
      </c>
      <c r="V200" t="str">
        <f t="shared" si="46"/>
        <v>Unprofitable</v>
      </c>
      <c r="W200" t="str" cm="1">
        <f t="array" ref="W200">_xlfn.IFS(S200&lt;0,"Loss", S200&lt;0.15,"Low Margin",S200&lt;0.3,"Medium High", TRUE, "High Margin")</f>
        <v>Loss</v>
      </c>
      <c r="X200" t="str">
        <f t="shared" si="47"/>
        <v>06-2024</v>
      </c>
    </row>
    <row r="201" spans="1:24" x14ac:dyDescent="0.3">
      <c r="A201">
        <v>10146</v>
      </c>
      <c r="B201" s="1">
        <v>45384</v>
      </c>
      <c r="C201" t="s">
        <v>29</v>
      </c>
      <c r="D201" t="s">
        <v>12</v>
      </c>
      <c r="E201" t="s">
        <v>18</v>
      </c>
      <c r="F201" t="s">
        <v>14</v>
      </c>
      <c r="G201" t="s">
        <v>15</v>
      </c>
      <c r="H201" t="s">
        <v>21</v>
      </c>
      <c r="I201">
        <v>148034.20000000001</v>
      </c>
      <c r="J201">
        <v>84005.99</v>
      </c>
      <c r="K201">
        <v>56243.46</v>
      </c>
      <c r="L201" t="str">
        <f t="shared" si="36"/>
        <v>Sneha</v>
      </c>
      <c r="M201" t="str">
        <f t="shared" si="37"/>
        <v>South</v>
      </c>
      <c r="N201" t="str">
        <f t="shared" si="38"/>
        <v>Bengaluru</v>
      </c>
      <c r="O201" t="str">
        <f t="shared" si="39"/>
        <v>Enterprise</v>
      </c>
      <c r="P201" s="4" t="str">
        <f t="shared" si="40"/>
        <v>Online</v>
      </c>
      <c r="Q201">
        <f t="shared" si="41"/>
        <v>84005.99</v>
      </c>
      <c r="R201" s="6">
        <f t="shared" si="42"/>
        <v>64028.210000000006</v>
      </c>
      <c r="S201">
        <f t="shared" si="43"/>
        <v>0.43252309263670152</v>
      </c>
      <c r="T201">
        <f t="shared" si="44"/>
        <v>2.6320251278993152</v>
      </c>
      <c r="U201">
        <f t="shared" si="45"/>
        <v>91790.74000000002</v>
      </c>
      <c r="V201" t="str">
        <f t="shared" si="46"/>
        <v>Profitable</v>
      </c>
      <c r="W201" t="str" cm="1">
        <f t="array" ref="W201">_xlfn.IFS(S201&lt;0,"Loss", S201&lt;0.15,"Low Margin",S201&lt;0.3,"Medium High", TRUE, "High Margin")</f>
        <v>High Margin</v>
      </c>
      <c r="X201" t="str">
        <f t="shared" si="47"/>
        <v>04-2024</v>
      </c>
    </row>
    <row r="202" spans="1:24" x14ac:dyDescent="0.3">
      <c r="A202">
        <v>10147</v>
      </c>
      <c r="B202" s="1">
        <v>45451</v>
      </c>
      <c r="C202" t="s">
        <v>41</v>
      </c>
      <c r="D202" t="s">
        <v>31</v>
      </c>
      <c r="E202" t="s">
        <v>26</v>
      </c>
      <c r="F202" t="s">
        <v>19</v>
      </c>
      <c r="G202" t="s">
        <v>40</v>
      </c>
      <c r="H202" t="s">
        <v>21</v>
      </c>
      <c r="I202">
        <v>193634.34</v>
      </c>
      <c r="J202">
        <v>33895.25</v>
      </c>
      <c r="L202" t="str">
        <f t="shared" si="36"/>
        <v>Neha</v>
      </c>
      <c r="M202" t="str">
        <f t="shared" si="37"/>
        <v>South</v>
      </c>
      <c r="N202" t="str">
        <f t="shared" si="38"/>
        <v>Mumbai</v>
      </c>
      <c r="O202" t="str">
        <f t="shared" si="39"/>
        <v>Startup</v>
      </c>
      <c r="P202" s="4" t="str">
        <f t="shared" si="40"/>
        <v>Online</v>
      </c>
      <c r="Q202">
        <f t="shared" si="41"/>
        <v>33895.25</v>
      </c>
      <c r="R202" s="6">
        <f t="shared" si="42"/>
        <v>159739.09</v>
      </c>
      <c r="S202">
        <f t="shared" si="43"/>
        <v>0.82495227860925913</v>
      </c>
      <c r="T202">
        <f t="shared" si="44"/>
        <v>0</v>
      </c>
      <c r="U202">
        <f t="shared" si="45"/>
        <v>193634.34</v>
      </c>
      <c r="V202" t="str">
        <f t="shared" si="46"/>
        <v>Profitable</v>
      </c>
      <c r="W202" t="str" cm="1">
        <f t="array" ref="W202">_xlfn.IFS(S202&lt;0,"Loss", S202&lt;0.15,"Low Margin",S202&lt;0.3,"Medium High", TRUE, "High Margin")</f>
        <v>High Margin</v>
      </c>
      <c r="X202" t="str">
        <f t="shared" si="47"/>
        <v>06-2024</v>
      </c>
    </row>
    <row r="203" spans="1:24" x14ac:dyDescent="0.3">
      <c r="A203">
        <v>10488</v>
      </c>
      <c r="B203" s="1">
        <v>45352</v>
      </c>
      <c r="C203" t="s">
        <v>45</v>
      </c>
      <c r="D203" t="s">
        <v>17</v>
      </c>
      <c r="F203" t="s">
        <v>32</v>
      </c>
      <c r="G203" t="s">
        <v>20</v>
      </c>
      <c r="H203" t="s">
        <v>21</v>
      </c>
      <c r="I203">
        <v>51064.35</v>
      </c>
      <c r="J203">
        <v>112871.01</v>
      </c>
      <c r="K203">
        <v>60457.3</v>
      </c>
      <c r="L203" t="str">
        <f t="shared" si="36"/>
        <v>Rahul</v>
      </c>
      <c r="M203" t="str">
        <f t="shared" si="37"/>
        <v>West</v>
      </c>
      <c r="N203" t="str">
        <f t="shared" si="38"/>
        <v>Unknown</v>
      </c>
      <c r="O203" t="str">
        <f t="shared" si="39"/>
        <v>Smb</v>
      </c>
      <c r="P203" s="4" t="str">
        <f t="shared" si="40"/>
        <v>Online</v>
      </c>
      <c r="Q203">
        <f t="shared" si="41"/>
        <v>112871.01</v>
      </c>
      <c r="R203" s="6">
        <f t="shared" si="42"/>
        <v>-61806.659999999996</v>
      </c>
      <c r="S203">
        <f t="shared" si="43"/>
        <v>-1.2103680943750386</v>
      </c>
      <c r="T203">
        <f t="shared" si="44"/>
        <v>0.84463497377487906</v>
      </c>
      <c r="U203">
        <f t="shared" si="45"/>
        <v>-9392.9500000000044</v>
      </c>
      <c r="V203" t="str">
        <f t="shared" si="46"/>
        <v>Unprofitable</v>
      </c>
      <c r="W203" t="str" cm="1">
        <f t="array" ref="W203">_xlfn.IFS(S203&lt;0,"Loss", S203&lt;0.15,"Low Margin",S203&lt;0.3,"Medium High", TRUE, "High Margin")</f>
        <v>Loss</v>
      </c>
      <c r="X203" t="str">
        <f t="shared" si="47"/>
        <v>03-2024</v>
      </c>
    </row>
    <row r="204" spans="1:24" x14ac:dyDescent="0.3">
      <c r="A204">
        <v>10550</v>
      </c>
      <c r="B204" s="1">
        <v>45413</v>
      </c>
      <c r="C204" t="s">
        <v>30</v>
      </c>
      <c r="D204" t="s">
        <v>31</v>
      </c>
      <c r="E204" t="s">
        <v>38</v>
      </c>
      <c r="F204" t="s">
        <v>19</v>
      </c>
      <c r="G204" t="s">
        <v>42</v>
      </c>
      <c r="I204">
        <v>135305.06</v>
      </c>
      <c r="J204">
        <v>77455.789999999994</v>
      </c>
      <c r="K204">
        <v>112421.08</v>
      </c>
      <c r="L204" t="str">
        <f t="shared" si="36"/>
        <v>Ankit</v>
      </c>
      <c r="M204" t="str">
        <f t="shared" si="37"/>
        <v>South</v>
      </c>
      <c r="N204" t="str">
        <f t="shared" si="38"/>
        <v>Delhi</v>
      </c>
      <c r="O204" t="str">
        <f t="shared" si="39"/>
        <v>Startup</v>
      </c>
      <c r="P204" s="4" t="str">
        <f t="shared" si="40"/>
        <v>Unknown</v>
      </c>
      <c r="Q204">
        <f t="shared" si="41"/>
        <v>77455.789999999994</v>
      </c>
      <c r="R204" s="6">
        <f t="shared" si="42"/>
        <v>57849.270000000004</v>
      </c>
      <c r="S204">
        <f t="shared" si="43"/>
        <v>0.42754698161325233</v>
      </c>
      <c r="T204">
        <f t="shared" si="44"/>
        <v>1.2035559523178392</v>
      </c>
      <c r="U204">
        <f t="shared" si="45"/>
        <v>22883.979999999996</v>
      </c>
      <c r="V204" t="str">
        <f t="shared" si="46"/>
        <v>Profitable</v>
      </c>
      <c r="W204" t="str" cm="1">
        <f t="array" ref="W204">_xlfn.IFS(S204&lt;0,"Loss", S204&lt;0.15,"Low Margin",S204&lt;0.3,"Medium High", TRUE, "High Margin")</f>
        <v>High Margin</v>
      </c>
      <c r="X204" t="str">
        <f t="shared" si="47"/>
        <v>05-2024</v>
      </c>
    </row>
    <row r="205" spans="1:24" x14ac:dyDescent="0.3">
      <c r="A205">
        <v>10337</v>
      </c>
      <c r="B205" s="1">
        <v>45342</v>
      </c>
      <c r="C205" t="s">
        <v>36</v>
      </c>
      <c r="D205" t="s">
        <v>17</v>
      </c>
      <c r="E205" t="s">
        <v>13</v>
      </c>
      <c r="F205" t="s">
        <v>14</v>
      </c>
      <c r="G205" t="s">
        <v>42</v>
      </c>
      <c r="I205">
        <v>150444.09</v>
      </c>
      <c r="J205">
        <v>40967.879999999997</v>
      </c>
      <c r="K205">
        <v>77473.399999999994</v>
      </c>
      <c r="L205" t="str">
        <f t="shared" si="36"/>
        <v>Amit</v>
      </c>
      <c r="M205" t="str">
        <f t="shared" si="37"/>
        <v>West</v>
      </c>
      <c r="N205" t="str">
        <f t="shared" si="38"/>
        <v>Bengaluru</v>
      </c>
      <c r="O205" t="str">
        <f t="shared" si="39"/>
        <v>Enterprise</v>
      </c>
      <c r="P205" s="4" t="str">
        <f t="shared" si="40"/>
        <v>Unknown</v>
      </c>
      <c r="Q205">
        <f t="shared" si="41"/>
        <v>40967.879999999997</v>
      </c>
      <c r="R205" s="6">
        <f t="shared" si="42"/>
        <v>109476.20999999999</v>
      </c>
      <c r="S205">
        <f t="shared" si="43"/>
        <v>0.72768700983867163</v>
      </c>
      <c r="T205">
        <f t="shared" si="44"/>
        <v>1.9418805680401274</v>
      </c>
      <c r="U205">
        <f t="shared" si="45"/>
        <v>72970.69</v>
      </c>
      <c r="V205" t="str">
        <f t="shared" si="46"/>
        <v>Profitable</v>
      </c>
      <c r="W205" t="str" cm="1">
        <f t="array" ref="W205">_xlfn.IFS(S205&lt;0,"Loss", S205&lt;0.15,"Low Margin",S205&lt;0.3,"Medium High", TRUE, "High Margin")</f>
        <v>High Margin</v>
      </c>
      <c r="X205" t="str">
        <f t="shared" si="47"/>
        <v>02-2024</v>
      </c>
    </row>
    <row r="206" spans="1:24" x14ac:dyDescent="0.3">
      <c r="A206">
        <v>10472</v>
      </c>
      <c r="B206" s="1">
        <v>45296</v>
      </c>
      <c r="C206" t="s">
        <v>36</v>
      </c>
      <c r="D206" t="s">
        <v>17</v>
      </c>
      <c r="E206" t="s">
        <v>35</v>
      </c>
      <c r="G206" t="s">
        <v>15</v>
      </c>
      <c r="I206">
        <v>170897.67</v>
      </c>
      <c r="J206">
        <v>34532.89</v>
      </c>
      <c r="K206">
        <v>151768.35999999999</v>
      </c>
      <c r="L206" t="str">
        <f t="shared" si="36"/>
        <v>Amit</v>
      </c>
      <c r="M206" t="str">
        <f t="shared" si="37"/>
        <v>West</v>
      </c>
      <c r="N206" t="str">
        <f t="shared" si="38"/>
        <v>Hyderabad</v>
      </c>
      <c r="O206" t="str">
        <f t="shared" si="39"/>
        <v>Unknown</v>
      </c>
      <c r="P206" s="4" t="str">
        <f t="shared" si="40"/>
        <v>Unknown</v>
      </c>
      <c r="Q206">
        <f t="shared" si="41"/>
        <v>34532.89</v>
      </c>
      <c r="R206" s="6">
        <f t="shared" si="42"/>
        <v>136364.78000000003</v>
      </c>
      <c r="S206">
        <f t="shared" si="43"/>
        <v>0.79793235331997225</v>
      </c>
      <c r="T206">
        <f t="shared" si="44"/>
        <v>1.1260428062871604</v>
      </c>
      <c r="U206">
        <f t="shared" si="45"/>
        <v>19129.310000000027</v>
      </c>
      <c r="V206" t="str">
        <f t="shared" si="46"/>
        <v>Profitable</v>
      </c>
      <c r="W206" t="str" cm="1">
        <f t="array" ref="W206">_xlfn.IFS(S206&lt;0,"Loss", S206&lt;0.15,"Low Margin",S206&lt;0.3,"Medium High", TRUE, "High Margin")</f>
        <v>High Margin</v>
      </c>
      <c r="X206" t="str">
        <f t="shared" si="47"/>
        <v>01-2024</v>
      </c>
    </row>
    <row r="207" spans="1:24" x14ac:dyDescent="0.3">
      <c r="A207">
        <v>10150</v>
      </c>
      <c r="B207" s="1">
        <v>45383</v>
      </c>
      <c r="D207" t="s">
        <v>17</v>
      </c>
      <c r="E207" t="s">
        <v>26</v>
      </c>
      <c r="F207" t="s">
        <v>19</v>
      </c>
      <c r="G207" t="s">
        <v>43</v>
      </c>
      <c r="H207" t="s">
        <v>33</v>
      </c>
      <c r="I207">
        <v>89144.81</v>
      </c>
      <c r="J207">
        <v>25338.41</v>
      </c>
      <c r="K207">
        <v>151311.39000000001</v>
      </c>
      <c r="L207" t="str">
        <f t="shared" si="36"/>
        <v>Unassigned</v>
      </c>
      <c r="M207" t="str">
        <f t="shared" si="37"/>
        <v>West</v>
      </c>
      <c r="N207" t="str">
        <f t="shared" si="38"/>
        <v>Mumbai</v>
      </c>
      <c r="O207" t="str">
        <f t="shared" si="39"/>
        <v>Startup</v>
      </c>
      <c r="P207" s="4" t="str">
        <f t="shared" si="40"/>
        <v>Partner</v>
      </c>
      <c r="Q207">
        <f t="shared" si="41"/>
        <v>25338.41</v>
      </c>
      <c r="R207" s="6">
        <f t="shared" si="42"/>
        <v>63806.399999999994</v>
      </c>
      <c r="S207">
        <f t="shared" si="43"/>
        <v>0.71576124285867004</v>
      </c>
      <c r="T207">
        <f t="shared" si="44"/>
        <v>0.58914804761227813</v>
      </c>
      <c r="U207">
        <f t="shared" si="45"/>
        <v>-62166.580000000016</v>
      </c>
      <c r="V207" t="str">
        <f t="shared" si="46"/>
        <v>Profitable</v>
      </c>
      <c r="W207" t="str" cm="1">
        <f t="array" ref="W207">_xlfn.IFS(S207&lt;0,"Loss", S207&lt;0.15,"Low Margin",S207&lt;0.3,"Medium High", TRUE, "High Margin")</f>
        <v>High Margin</v>
      </c>
      <c r="X207" t="str">
        <f t="shared" si="47"/>
        <v>04-2024</v>
      </c>
    </row>
    <row r="208" spans="1:24" x14ac:dyDescent="0.3">
      <c r="A208">
        <v>10414</v>
      </c>
      <c r="B208" s="1">
        <v>45461</v>
      </c>
      <c r="C208" t="s">
        <v>22</v>
      </c>
      <c r="D208" t="s">
        <v>23</v>
      </c>
      <c r="E208" t="s">
        <v>38</v>
      </c>
      <c r="G208" t="s">
        <v>15</v>
      </c>
      <c r="I208">
        <v>66162.73</v>
      </c>
      <c r="J208">
        <v>84272.99</v>
      </c>
      <c r="K208">
        <v>96376.06</v>
      </c>
      <c r="L208" t="str">
        <f t="shared" si="36"/>
        <v>Amit</v>
      </c>
      <c r="M208" t="str">
        <f t="shared" si="37"/>
        <v>West</v>
      </c>
      <c r="N208" t="str">
        <f t="shared" si="38"/>
        <v>Delhi</v>
      </c>
      <c r="O208" t="str">
        <f t="shared" si="39"/>
        <v>Unknown</v>
      </c>
      <c r="P208" s="4" t="str">
        <f t="shared" si="40"/>
        <v>Unknown</v>
      </c>
      <c r="Q208">
        <f t="shared" si="41"/>
        <v>84272.99</v>
      </c>
      <c r="R208" s="6">
        <f t="shared" si="42"/>
        <v>-18110.260000000009</v>
      </c>
      <c r="S208">
        <f t="shared" si="43"/>
        <v>-0.27372298573532272</v>
      </c>
      <c r="T208">
        <f t="shared" si="44"/>
        <v>0.68650586048028939</v>
      </c>
      <c r="U208">
        <f t="shared" si="45"/>
        <v>-30213.33</v>
      </c>
      <c r="V208" t="str">
        <f t="shared" si="46"/>
        <v>Unprofitable</v>
      </c>
      <c r="W208" t="str" cm="1">
        <f t="array" ref="W208">_xlfn.IFS(S208&lt;0,"Loss", S208&lt;0.15,"Low Margin",S208&lt;0.3,"Medium High", TRUE, "High Margin")</f>
        <v>Loss</v>
      </c>
      <c r="X208" t="str">
        <f t="shared" si="47"/>
        <v>06-2024</v>
      </c>
    </row>
    <row r="209" spans="1:24" x14ac:dyDescent="0.3">
      <c r="A209">
        <v>10297</v>
      </c>
      <c r="B209" s="1">
        <v>45313</v>
      </c>
      <c r="C209" t="s">
        <v>36</v>
      </c>
      <c r="D209" t="s">
        <v>17</v>
      </c>
      <c r="E209" t="s">
        <v>26</v>
      </c>
      <c r="G209" t="s">
        <v>15</v>
      </c>
      <c r="H209" t="s">
        <v>21</v>
      </c>
      <c r="I209">
        <v>70456.67</v>
      </c>
      <c r="J209">
        <v>28589.73</v>
      </c>
      <c r="K209">
        <v>76131.06</v>
      </c>
      <c r="L209" t="str">
        <f t="shared" si="36"/>
        <v>Amit</v>
      </c>
      <c r="M209" t="str">
        <f t="shared" si="37"/>
        <v>West</v>
      </c>
      <c r="N209" t="str">
        <f t="shared" si="38"/>
        <v>Mumbai</v>
      </c>
      <c r="O209" t="str">
        <f t="shared" si="39"/>
        <v>Unknown</v>
      </c>
      <c r="P209" s="4" t="str">
        <f t="shared" si="40"/>
        <v>Online</v>
      </c>
      <c r="Q209">
        <f t="shared" si="41"/>
        <v>28589.73</v>
      </c>
      <c r="R209" s="6">
        <f t="shared" si="42"/>
        <v>41866.94</v>
      </c>
      <c r="S209">
        <f t="shared" si="43"/>
        <v>0.59422252002542841</v>
      </c>
      <c r="T209">
        <f t="shared" si="44"/>
        <v>0.92546550645689163</v>
      </c>
      <c r="U209">
        <f t="shared" si="45"/>
        <v>-5674.3899999999994</v>
      </c>
      <c r="V209" t="str">
        <f t="shared" si="46"/>
        <v>Profitable</v>
      </c>
      <c r="W209" t="str" cm="1">
        <f t="array" ref="W209">_xlfn.IFS(S209&lt;0,"Loss", S209&lt;0.15,"Low Margin",S209&lt;0.3,"Medium High", TRUE, "High Margin")</f>
        <v>High Margin</v>
      </c>
      <c r="X209" t="str">
        <f t="shared" si="47"/>
        <v>01-2024</v>
      </c>
    </row>
    <row r="210" spans="1:24" x14ac:dyDescent="0.3">
      <c r="A210">
        <v>10262</v>
      </c>
      <c r="B210" s="1">
        <v>45292</v>
      </c>
      <c r="C210" t="s">
        <v>11</v>
      </c>
      <c r="D210" t="s">
        <v>17</v>
      </c>
      <c r="E210" t="s">
        <v>44</v>
      </c>
      <c r="F210" t="s">
        <v>39</v>
      </c>
      <c r="G210" t="s">
        <v>42</v>
      </c>
      <c r="H210" t="s">
        <v>21</v>
      </c>
      <c r="I210">
        <v>144823.29999999999</v>
      </c>
      <c r="K210">
        <v>78009.570000000007</v>
      </c>
      <c r="L210" t="str">
        <f t="shared" si="36"/>
        <v>Rahul</v>
      </c>
      <c r="M210" t="str">
        <f t="shared" si="37"/>
        <v>West</v>
      </c>
      <c r="N210" t="str">
        <f t="shared" si="38"/>
        <v>Pune</v>
      </c>
      <c r="O210" t="str">
        <f t="shared" si="39"/>
        <v>Enterprise</v>
      </c>
      <c r="P210" s="4" t="str">
        <f t="shared" si="40"/>
        <v>Online</v>
      </c>
      <c r="Q210">
        <f t="shared" si="41"/>
        <v>0</v>
      </c>
      <c r="R210" s="6">
        <f t="shared" si="42"/>
        <v>144823.29999999999</v>
      </c>
      <c r="S210">
        <f t="shared" si="43"/>
        <v>1</v>
      </c>
      <c r="T210">
        <f t="shared" si="44"/>
        <v>1.8564811983965555</v>
      </c>
      <c r="U210">
        <f t="shared" si="45"/>
        <v>66813.729999999981</v>
      </c>
      <c r="V210" t="str">
        <f t="shared" si="46"/>
        <v>Profitable</v>
      </c>
      <c r="W210" t="str" cm="1">
        <f t="array" ref="W210">_xlfn.IFS(S210&lt;0,"Loss", S210&lt;0.15,"Low Margin",S210&lt;0.3,"Medium High", TRUE, "High Margin")</f>
        <v>High Margin</v>
      </c>
      <c r="X210" t="str">
        <f t="shared" si="47"/>
        <v>01-2024</v>
      </c>
    </row>
    <row r="211" spans="1:24" x14ac:dyDescent="0.3">
      <c r="A211">
        <v>10143</v>
      </c>
      <c r="B211" s="1">
        <v>45424</v>
      </c>
      <c r="C211" t="s">
        <v>45</v>
      </c>
      <c r="D211" t="s">
        <v>12</v>
      </c>
      <c r="E211" t="s">
        <v>35</v>
      </c>
      <c r="F211" t="s">
        <v>19</v>
      </c>
      <c r="G211" t="s">
        <v>40</v>
      </c>
      <c r="H211" t="s">
        <v>33</v>
      </c>
      <c r="I211">
        <v>164821.66</v>
      </c>
      <c r="J211">
        <v>33962.300000000003</v>
      </c>
      <c r="K211">
        <v>148914.32</v>
      </c>
      <c r="L211" t="str">
        <f t="shared" si="36"/>
        <v>Rahul</v>
      </c>
      <c r="M211" t="str">
        <f t="shared" si="37"/>
        <v>South</v>
      </c>
      <c r="N211" t="str">
        <f t="shared" si="38"/>
        <v>Hyderabad</v>
      </c>
      <c r="O211" t="str">
        <f t="shared" si="39"/>
        <v>Startup</v>
      </c>
      <c r="P211" s="4" t="str">
        <f t="shared" si="40"/>
        <v>Partner</v>
      </c>
      <c r="Q211">
        <f t="shared" si="41"/>
        <v>33962.300000000003</v>
      </c>
      <c r="R211" s="6">
        <f t="shared" si="42"/>
        <v>130859.36</v>
      </c>
      <c r="S211">
        <f t="shared" si="43"/>
        <v>0.79394516473138299</v>
      </c>
      <c r="T211">
        <f t="shared" si="44"/>
        <v>1.106822097431597</v>
      </c>
      <c r="U211">
        <f t="shared" si="45"/>
        <v>15907.339999999997</v>
      </c>
      <c r="V211" t="str">
        <f t="shared" si="46"/>
        <v>Profitable</v>
      </c>
      <c r="W211" t="str" cm="1">
        <f t="array" ref="W211">_xlfn.IFS(S211&lt;0,"Loss", S211&lt;0.15,"Low Margin",S211&lt;0.3,"Medium High", TRUE, "High Margin")</f>
        <v>High Margin</v>
      </c>
      <c r="X211" t="str">
        <f t="shared" si="47"/>
        <v>05-2024</v>
      </c>
    </row>
    <row r="212" spans="1:24" x14ac:dyDescent="0.3">
      <c r="A212">
        <v>10345</v>
      </c>
      <c r="B212" s="1">
        <v>45524</v>
      </c>
      <c r="C212" t="s">
        <v>11</v>
      </c>
      <c r="D212" t="s">
        <v>37</v>
      </c>
      <c r="E212" t="s">
        <v>13</v>
      </c>
      <c r="F212" t="s">
        <v>19</v>
      </c>
      <c r="G212" t="s">
        <v>15</v>
      </c>
      <c r="H212" t="s">
        <v>33</v>
      </c>
      <c r="I212">
        <v>42869.88</v>
      </c>
      <c r="J212">
        <v>80450.37</v>
      </c>
      <c r="K212">
        <v>72508.72</v>
      </c>
      <c r="L212" t="str">
        <f t="shared" si="36"/>
        <v>Rahul</v>
      </c>
      <c r="M212" t="str">
        <f t="shared" si="37"/>
        <v>North</v>
      </c>
      <c r="N212" t="str">
        <f t="shared" si="38"/>
        <v>Bengaluru</v>
      </c>
      <c r="O212" t="str">
        <f t="shared" si="39"/>
        <v>Startup</v>
      </c>
      <c r="P212" s="4" t="str">
        <f t="shared" si="40"/>
        <v>Partner</v>
      </c>
      <c r="Q212">
        <f t="shared" si="41"/>
        <v>80450.37</v>
      </c>
      <c r="R212" s="6">
        <f t="shared" si="42"/>
        <v>-37580.49</v>
      </c>
      <c r="S212">
        <f t="shared" si="43"/>
        <v>-0.87661756925841638</v>
      </c>
      <c r="T212">
        <f t="shared" si="44"/>
        <v>0.59123757804578536</v>
      </c>
      <c r="U212">
        <f t="shared" si="45"/>
        <v>-29638.840000000004</v>
      </c>
      <c r="V212" t="str">
        <f t="shared" si="46"/>
        <v>Unprofitable</v>
      </c>
      <c r="W212" t="str" cm="1">
        <f t="array" ref="W212">_xlfn.IFS(S212&lt;0,"Loss", S212&lt;0.15,"Low Margin",S212&lt;0.3,"Medium High", TRUE, "High Margin")</f>
        <v>Loss</v>
      </c>
      <c r="X212" t="str">
        <f t="shared" si="47"/>
        <v>08-2024</v>
      </c>
    </row>
    <row r="213" spans="1:24" x14ac:dyDescent="0.3">
      <c r="A213">
        <v>10571</v>
      </c>
      <c r="B213" s="1">
        <v>45303</v>
      </c>
      <c r="C213" t="s">
        <v>30</v>
      </c>
      <c r="D213" t="s">
        <v>34</v>
      </c>
      <c r="E213" t="s">
        <v>18</v>
      </c>
      <c r="G213" t="s">
        <v>40</v>
      </c>
      <c r="I213">
        <v>79220.67</v>
      </c>
      <c r="J213">
        <v>98347.95</v>
      </c>
      <c r="L213" t="str">
        <f t="shared" si="36"/>
        <v>Ankit</v>
      </c>
      <c r="M213" t="str">
        <f t="shared" si="37"/>
        <v>East</v>
      </c>
      <c r="N213" t="str">
        <f t="shared" si="38"/>
        <v>Bengaluru</v>
      </c>
      <c r="O213" t="str">
        <f t="shared" si="39"/>
        <v>Unknown</v>
      </c>
      <c r="P213" s="4" t="str">
        <f t="shared" si="40"/>
        <v>Unknown</v>
      </c>
      <c r="Q213">
        <f t="shared" si="41"/>
        <v>98347.95</v>
      </c>
      <c r="R213" s="6">
        <f t="shared" si="42"/>
        <v>-19127.28</v>
      </c>
      <c r="S213">
        <f t="shared" si="43"/>
        <v>-0.24144304762885746</v>
      </c>
      <c r="T213">
        <f t="shared" si="44"/>
        <v>0</v>
      </c>
      <c r="U213">
        <f t="shared" si="45"/>
        <v>79220.67</v>
      </c>
      <c r="V213" t="str">
        <f t="shared" si="46"/>
        <v>Unprofitable</v>
      </c>
      <c r="W213" t="str" cm="1">
        <f t="array" ref="W213">_xlfn.IFS(S213&lt;0,"Loss", S213&lt;0.15,"Low Margin",S213&lt;0.3,"Medium High", TRUE, "High Margin")</f>
        <v>Loss</v>
      </c>
      <c r="X213" t="str">
        <f t="shared" si="47"/>
        <v>01-2024</v>
      </c>
    </row>
    <row r="214" spans="1:24" x14ac:dyDescent="0.3">
      <c r="A214">
        <v>10001</v>
      </c>
      <c r="B214" s="1">
        <v>45337</v>
      </c>
      <c r="C214" t="s">
        <v>36</v>
      </c>
      <c r="D214" t="s">
        <v>37</v>
      </c>
      <c r="E214" t="s">
        <v>18</v>
      </c>
      <c r="F214" t="s">
        <v>14</v>
      </c>
      <c r="G214" t="s">
        <v>40</v>
      </c>
      <c r="H214" t="s">
        <v>16</v>
      </c>
      <c r="I214">
        <v>181172.52</v>
      </c>
      <c r="L214" t="str">
        <f t="shared" si="36"/>
        <v>Amit</v>
      </c>
      <c r="M214" t="str">
        <f t="shared" si="37"/>
        <v>North</v>
      </c>
      <c r="N214" t="str">
        <f t="shared" si="38"/>
        <v>Bengaluru</v>
      </c>
      <c r="O214" t="str">
        <f t="shared" si="39"/>
        <v>Enterprise</v>
      </c>
      <c r="P214" s="4" t="str">
        <f t="shared" si="40"/>
        <v>direct</v>
      </c>
      <c r="Q214">
        <f t="shared" si="41"/>
        <v>0</v>
      </c>
      <c r="R214" s="6">
        <f t="shared" si="42"/>
        <v>181172.52</v>
      </c>
      <c r="S214">
        <f t="shared" si="43"/>
        <v>1</v>
      </c>
      <c r="T214">
        <f t="shared" si="44"/>
        <v>0</v>
      </c>
      <c r="U214">
        <f t="shared" si="45"/>
        <v>181172.52</v>
      </c>
      <c r="V214" t="str">
        <f t="shared" si="46"/>
        <v>Profitable</v>
      </c>
      <c r="W214" t="str" cm="1">
        <f t="array" ref="W214">_xlfn.IFS(S214&lt;0,"Loss", S214&lt;0.15,"Low Margin",S214&lt;0.3,"Medium High", TRUE, "High Margin")</f>
        <v>High Margin</v>
      </c>
      <c r="X214" t="str">
        <f t="shared" si="47"/>
        <v>02-2024</v>
      </c>
    </row>
    <row r="215" spans="1:24" x14ac:dyDescent="0.3">
      <c r="A215">
        <v>10303</v>
      </c>
      <c r="B215" s="1">
        <v>45325</v>
      </c>
      <c r="C215" t="s">
        <v>22</v>
      </c>
      <c r="D215" t="s">
        <v>17</v>
      </c>
      <c r="E215" t="s">
        <v>38</v>
      </c>
      <c r="F215" t="s">
        <v>39</v>
      </c>
      <c r="G215" t="s">
        <v>43</v>
      </c>
      <c r="H215" t="s">
        <v>33</v>
      </c>
      <c r="I215">
        <v>162885.16</v>
      </c>
      <c r="J215">
        <v>92019.61</v>
      </c>
      <c r="K215">
        <v>94670.9</v>
      </c>
      <c r="L215" t="str">
        <f t="shared" si="36"/>
        <v>Amit</v>
      </c>
      <c r="M215" t="str">
        <f t="shared" si="37"/>
        <v>West</v>
      </c>
      <c r="N215" t="str">
        <f t="shared" si="38"/>
        <v>Delhi</v>
      </c>
      <c r="O215" t="str">
        <f t="shared" si="39"/>
        <v>Enterprise</v>
      </c>
      <c r="P215" s="4" t="str">
        <f t="shared" si="40"/>
        <v>Partner</v>
      </c>
      <c r="Q215">
        <f t="shared" si="41"/>
        <v>92019.61</v>
      </c>
      <c r="R215" s="6">
        <f t="shared" si="42"/>
        <v>70865.55</v>
      </c>
      <c r="S215">
        <f t="shared" si="43"/>
        <v>0.43506449574657385</v>
      </c>
      <c r="T215">
        <f t="shared" si="44"/>
        <v>1.7205409476407219</v>
      </c>
      <c r="U215">
        <f t="shared" si="45"/>
        <v>68214.260000000009</v>
      </c>
      <c r="V215" t="str">
        <f t="shared" si="46"/>
        <v>Profitable</v>
      </c>
      <c r="W215" t="str" cm="1">
        <f t="array" ref="W215">_xlfn.IFS(S215&lt;0,"Loss", S215&lt;0.15,"Low Margin",S215&lt;0.3,"Medium High", TRUE, "High Margin")</f>
        <v>High Margin</v>
      </c>
      <c r="X215" t="str">
        <f t="shared" si="47"/>
        <v>02-2024</v>
      </c>
    </row>
    <row r="216" spans="1:24" x14ac:dyDescent="0.3">
      <c r="A216">
        <v>10253</v>
      </c>
      <c r="B216" s="1">
        <v>45369</v>
      </c>
      <c r="C216" t="s">
        <v>30</v>
      </c>
      <c r="D216" t="s">
        <v>12</v>
      </c>
      <c r="E216" t="s">
        <v>13</v>
      </c>
      <c r="G216" t="s">
        <v>40</v>
      </c>
      <c r="H216" t="s">
        <v>28</v>
      </c>
      <c r="I216">
        <v>197092.81</v>
      </c>
      <c r="J216">
        <v>24963.52</v>
      </c>
      <c r="L216" t="str">
        <f t="shared" si="36"/>
        <v>Ankit</v>
      </c>
      <c r="M216" t="str">
        <f t="shared" si="37"/>
        <v>South</v>
      </c>
      <c r="N216" t="str">
        <f t="shared" si="38"/>
        <v>Bengaluru</v>
      </c>
      <c r="O216" t="str">
        <f t="shared" si="39"/>
        <v>Unknown</v>
      </c>
      <c r="P216" s="4" t="str">
        <f t="shared" si="40"/>
        <v>Direct</v>
      </c>
      <c r="Q216">
        <f t="shared" si="41"/>
        <v>24963.52</v>
      </c>
      <c r="R216" s="6">
        <f t="shared" si="42"/>
        <v>172129.29</v>
      </c>
      <c r="S216">
        <f t="shared" si="43"/>
        <v>0.87334129540291205</v>
      </c>
      <c r="T216">
        <f t="shared" si="44"/>
        <v>0</v>
      </c>
      <c r="U216">
        <f t="shared" si="45"/>
        <v>197092.81</v>
      </c>
      <c r="V216" t="str">
        <f t="shared" si="46"/>
        <v>Profitable</v>
      </c>
      <c r="W216" t="str" cm="1">
        <f t="array" ref="W216">_xlfn.IFS(S216&lt;0,"Loss", S216&lt;0.15,"Low Margin",S216&lt;0.3,"Medium High", TRUE, "High Margin")</f>
        <v>High Margin</v>
      </c>
      <c r="X216" t="str">
        <f t="shared" si="47"/>
        <v>03-2024</v>
      </c>
    </row>
    <row r="217" spans="1:24" x14ac:dyDescent="0.3">
      <c r="A217">
        <v>10452</v>
      </c>
      <c r="B217" s="1">
        <v>45509</v>
      </c>
      <c r="C217" t="s">
        <v>29</v>
      </c>
      <c r="D217" t="s">
        <v>31</v>
      </c>
      <c r="F217" t="s">
        <v>32</v>
      </c>
      <c r="G217" t="s">
        <v>42</v>
      </c>
      <c r="H217" t="s">
        <v>21</v>
      </c>
      <c r="I217">
        <v>152815.67000000001</v>
      </c>
      <c r="J217">
        <v>13341.04</v>
      </c>
      <c r="K217">
        <v>154545.39000000001</v>
      </c>
      <c r="L217" t="str">
        <f t="shared" si="36"/>
        <v>Sneha</v>
      </c>
      <c r="M217" t="str">
        <f t="shared" si="37"/>
        <v>South</v>
      </c>
      <c r="N217" t="str">
        <f t="shared" si="38"/>
        <v>Unknown</v>
      </c>
      <c r="O217" t="str">
        <f t="shared" si="39"/>
        <v>Smb</v>
      </c>
      <c r="P217" s="4" t="str">
        <f t="shared" si="40"/>
        <v>Online</v>
      </c>
      <c r="Q217">
        <f t="shared" si="41"/>
        <v>13341.04</v>
      </c>
      <c r="R217" s="6">
        <f t="shared" si="42"/>
        <v>139474.63</v>
      </c>
      <c r="S217">
        <f t="shared" si="43"/>
        <v>0.91269848177218993</v>
      </c>
      <c r="T217">
        <f t="shared" si="44"/>
        <v>0.98880768944321151</v>
      </c>
      <c r="U217">
        <f t="shared" si="45"/>
        <v>-1729.7200000000012</v>
      </c>
      <c r="V217" t="str">
        <f t="shared" si="46"/>
        <v>Profitable</v>
      </c>
      <c r="W217" t="str" cm="1">
        <f t="array" ref="W217">_xlfn.IFS(S217&lt;0,"Loss", S217&lt;0.15,"Low Margin",S217&lt;0.3,"Medium High", TRUE, "High Margin")</f>
        <v>High Margin</v>
      </c>
      <c r="X217" t="str">
        <f t="shared" si="47"/>
        <v>08-2024</v>
      </c>
    </row>
    <row r="218" spans="1:24" x14ac:dyDescent="0.3">
      <c r="A218">
        <v>10036</v>
      </c>
      <c r="B218" s="1">
        <v>45364</v>
      </c>
      <c r="C218" t="s">
        <v>29</v>
      </c>
      <c r="D218" t="s">
        <v>12</v>
      </c>
      <c r="E218" t="s">
        <v>24</v>
      </c>
      <c r="F218" t="s">
        <v>32</v>
      </c>
      <c r="G218" t="s">
        <v>20</v>
      </c>
      <c r="H218" t="s">
        <v>28</v>
      </c>
      <c r="I218">
        <v>83493.48</v>
      </c>
      <c r="J218">
        <v>84777.01</v>
      </c>
      <c r="K218">
        <v>55398.19</v>
      </c>
      <c r="L218" t="str">
        <f t="shared" si="36"/>
        <v>Sneha</v>
      </c>
      <c r="M218" t="str">
        <f t="shared" si="37"/>
        <v>South</v>
      </c>
      <c r="N218" t="str">
        <f t="shared" si="38"/>
        <v>Chennai</v>
      </c>
      <c r="O218" t="str">
        <f t="shared" si="39"/>
        <v>Smb</v>
      </c>
      <c r="P218" s="4" t="str">
        <f t="shared" si="40"/>
        <v>Direct</v>
      </c>
      <c r="Q218">
        <f t="shared" si="41"/>
        <v>84777.01</v>
      </c>
      <c r="R218" s="6">
        <f t="shared" si="42"/>
        <v>-1283.5299999999988</v>
      </c>
      <c r="S218">
        <f t="shared" si="43"/>
        <v>-1.537281713494274E-2</v>
      </c>
      <c r="T218">
        <f t="shared" si="44"/>
        <v>1.5071517679548734</v>
      </c>
      <c r="U218">
        <f t="shared" si="45"/>
        <v>28095.289999999994</v>
      </c>
      <c r="V218" t="str">
        <f t="shared" si="46"/>
        <v>Unprofitable</v>
      </c>
      <c r="W218" t="str" cm="1">
        <f t="array" ref="W218">_xlfn.IFS(S218&lt;0,"Loss", S218&lt;0.15,"Low Margin",S218&lt;0.3,"Medium High", TRUE, "High Margin")</f>
        <v>Loss</v>
      </c>
      <c r="X218" t="str">
        <f t="shared" si="47"/>
        <v>03-2024</v>
      </c>
    </row>
    <row r="219" spans="1:24" x14ac:dyDescent="0.3">
      <c r="A219">
        <v>10159</v>
      </c>
      <c r="B219" s="1">
        <v>45540</v>
      </c>
      <c r="C219" t="s">
        <v>11</v>
      </c>
      <c r="D219" t="s">
        <v>17</v>
      </c>
      <c r="E219" t="s">
        <v>44</v>
      </c>
      <c r="F219" t="s">
        <v>39</v>
      </c>
      <c r="G219" t="s">
        <v>20</v>
      </c>
      <c r="H219" t="s">
        <v>21</v>
      </c>
      <c r="I219">
        <v>121402.46</v>
      </c>
      <c r="J219">
        <v>46096.62</v>
      </c>
      <c r="L219" t="str">
        <f t="shared" si="36"/>
        <v>Rahul</v>
      </c>
      <c r="M219" t="str">
        <f t="shared" si="37"/>
        <v>West</v>
      </c>
      <c r="N219" t="str">
        <f t="shared" si="38"/>
        <v>Pune</v>
      </c>
      <c r="O219" t="str">
        <f t="shared" si="39"/>
        <v>Enterprise</v>
      </c>
      <c r="P219" s="4" t="str">
        <f t="shared" si="40"/>
        <v>Online</v>
      </c>
      <c r="Q219">
        <f t="shared" si="41"/>
        <v>46096.62</v>
      </c>
      <c r="R219" s="6">
        <f t="shared" si="42"/>
        <v>75305.84</v>
      </c>
      <c r="S219">
        <f t="shared" si="43"/>
        <v>0.62029912738176796</v>
      </c>
      <c r="T219">
        <f t="shared" si="44"/>
        <v>0</v>
      </c>
      <c r="U219">
        <f t="shared" si="45"/>
        <v>121402.46</v>
      </c>
      <c r="V219" t="str">
        <f t="shared" si="46"/>
        <v>Profitable</v>
      </c>
      <c r="W219" t="str" cm="1">
        <f t="array" ref="W219">_xlfn.IFS(S219&lt;0,"Loss", S219&lt;0.15,"Low Margin",S219&lt;0.3,"Medium High", TRUE, "High Margin")</f>
        <v>High Margin</v>
      </c>
      <c r="X219" t="str">
        <f t="shared" si="47"/>
        <v>09-2024</v>
      </c>
    </row>
    <row r="220" spans="1:24" x14ac:dyDescent="0.3">
      <c r="A220">
        <v>10008</v>
      </c>
      <c r="B220" s="1">
        <v>45338</v>
      </c>
      <c r="D220" t="s">
        <v>12</v>
      </c>
      <c r="E220" t="s">
        <v>38</v>
      </c>
      <c r="F220" t="s">
        <v>14</v>
      </c>
      <c r="G220" t="s">
        <v>27</v>
      </c>
      <c r="H220" t="s">
        <v>21</v>
      </c>
      <c r="I220">
        <v>134914.74</v>
      </c>
      <c r="J220">
        <v>53584.51</v>
      </c>
      <c r="L220" t="str">
        <f t="shared" si="36"/>
        <v>Unassigned</v>
      </c>
      <c r="M220" t="str">
        <f t="shared" si="37"/>
        <v>South</v>
      </c>
      <c r="N220" t="str">
        <f t="shared" si="38"/>
        <v>Delhi</v>
      </c>
      <c r="O220" t="str">
        <f t="shared" si="39"/>
        <v>Enterprise</v>
      </c>
      <c r="P220" s="4" t="str">
        <f t="shared" si="40"/>
        <v>Online</v>
      </c>
      <c r="Q220">
        <f t="shared" si="41"/>
        <v>53584.51</v>
      </c>
      <c r="R220" s="6">
        <f t="shared" si="42"/>
        <v>81330.229999999981</v>
      </c>
      <c r="S220">
        <f t="shared" si="43"/>
        <v>0.60282686680491682</v>
      </c>
      <c r="T220">
        <f t="shared" si="44"/>
        <v>0</v>
      </c>
      <c r="U220">
        <f t="shared" si="45"/>
        <v>134914.74</v>
      </c>
      <c r="V220" t="str">
        <f t="shared" si="46"/>
        <v>Profitable</v>
      </c>
      <c r="W220" t="str" cm="1">
        <f t="array" ref="W220">_xlfn.IFS(S220&lt;0,"Loss", S220&lt;0.15,"Low Margin",S220&lt;0.3,"Medium High", TRUE, "High Margin")</f>
        <v>High Margin</v>
      </c>
      <c r="X220" t="str">
        <f t="shared" si="47"/>
        <v>02-2024</v>
      </c>
    </row>
    <row r="221" spans="1:24" x14ac:dyDescent="0.3">
      <c r="A221">
        <v>10232</v>
      </c>
      <c r="B221" s="1">
        <v>45412</v>
      </c>
      <c r="C221" t="s">
        <v>41</v>
      </c>
      <c r="E221" t="s">
        <v>24</v>
      </c>
      <c r="G221" t="s">
        <v>15</v>
      </c>
      <c r="H221" t="s">
        <v>33</v>
      </c>
      <c r="I221">
        <v>23063.52</v>
      </c>
      <c r="J221">
        <v>6644.44</v>
      </c>
      <c r="K221">
        <v>151779.78</v>
      </c>
      <c r="L221" t="str">
        <f t="shared" si="36"/>
        <v>Neha</v>
      </c>
      <c r="M221" t="str">
        <f t="shared" si="37"/>
        <v>Unknown</v>
      </c>
      <c r="N221" t="str">
        <f t="shared" si="38"/>
        <v>Chennai</v>
      </c>
      <c r="O221" t="str">
        <f t="shared" si="39"/>
        <v>Unknown</v>
      </c>
      <c r="P221" s="4" t="str">
        <f t="shared" si="40"/>
        <v>Partner</v>
      </c>
      <c r="Q221">
        <f t="shared" si="41"/>
        <v>6644.44</v>
      </c>
      <c r="R221" s="6">
        <f t="shared" si="42"/>
        <v>16419.080000000002</v>
      </c>
      <c r="S221">
        <f t="shared" si="43"/>
        <v>0.71190694221870732</v>
      </c>
      <c r="T221">
        <f t="shared" si="44"/>
        <v>0.15195383732932016</v>
      </c>
      <c r="U221">
        <f t="shared" si="45"/>
        <v>-128716.26</v>
      </c>
      <c r="V221" t="str">
        <f t="shared" si="46"/>
        <v>Profitable</v>
      </c>
      <c r="W221" t="str" cm="1">
        <f t="array" ref="W221">_xlfn.IFS(S221&lt;0,"Loss", S221&lt;0.15,"Low Margin",S221&lt;0.3,"Medium High", TRUE, "High Margin")</f>
        <v>High Margin</v>
      </c>
      <c r="X221" t="str">
        <f t="shared" si="47"/>
        <v>04-2024</v>
      </c>
    </row>
    <row r="222" spans="1:24" x14ac:dyDescent="0.3">
      <c r="A222">
        <v>10098</v>
      </c>
      <c r="B222" s="1">
        <v>45505</v>
      </c>
      <c r="D222" t="s">
        <v>12</v>
      </c>
      <c r="E222" t="s">
        <v>26</v>
      </c>
      <c r="F222" t="s">
        <v>19</v>
      </c>
      <c r="G222" t="s">
        <v>42</v>
      </c>
      <c r="H222" t="s">
        <v>33</v>
      </c>
      <c r="I222">
        <v>112543.42</v>
      </c>
      <c r="J222">
        <v>33370.44</v>
      </c>
      <c r="K222">
        <v>81537.77</v>
      </c>
      <c r="L222" t="str">
        <f t="shared" si="36"/>
        <v>Unassigned</v>
      </c>
      <c r="M222" t="str">
        <f t="shared" si="37"/>
        <v>South</v>
      </c>
      <c r="N222" t="str">
        <f t="shared" si="38"/>
        <v>Mumbai</v>
      </c>
      <c r="O222" t="str">
        <f t="shared" si="39"/>
        <v>Startup</v>
      </c>
      <c r="P222" s="4" t="str">
        <f t="shared" si="40"/>
        <v>Partner</v>
      </c>
      <c r="Q222">
        <f t="shared" si="41"/>
        <v>33370.44</v>
      </c>
      <c r="R222" s="6">
        <f t="shared" si="42"/>
        <v>79172.98</v>
      </c>
      <c r="S222">
        <f t="shared" si="43"/>
        <v>0.70348830700186649</v>
      </c>
      <c r="T222">
        <f t="shared" si="44"/>
        <v>1.3802611967435459</v>
      </c>
      <c r="U222">
        <f t="shared" si="45"/>
        <v>31005.649999999994</v>
      </c>
      <c r="V222" t="str">
        <f t="shared" si="46"/>
        <v>Profitable</v>
      </c>
      <c r="W222" t="str" cm="1">
        <f t="array" ref="W222">_xlfn.IFS(S222&lt;0,"Loss", S222&lt;0.15,"Low Margin",S222&lt;0.3,"Medium High", TRUE, "High Margin")</f>
        <v>High Margin</v>
      </c>
      <c r="X222" t="str">
        <f t="shared" si="47"/>
        <v>08-2024</v>
      </c>
    </row>
    <row r="223" spans="1:24" x14ac:dyDescent="0.3">
      <c r="A223">
        <v>10207</v>
      </c>
      <c r="B223" s="1">
        <v>45530</v>
      </c>
      <c r="D223" t="s">
        <v>17</v>
      </c>
      <c r="E223" t="s">
        <v>44</v>
      </c>
      <c r="F223" t="s">
        <v>39</v>
      </c>
      <c r="G223" t="s">
        <v>40</v>
      </c>
      <c r="H223" t="s">
        <v>28</v>
      </c>
      <c r="I223">
        <v>144189.6</v>
      </c>
      <c r="J223">
        <v>6940.14</v>
      </c>
      <c r="K223">
        <v>93459.839999999997</v>
      </c>
      <c r="L223" t="str">
        <f t="shared" si="36"/>
        <v>Unassigned</v>
      </c>
      <c r="M223" t="str">
        <f t="shared" si="37"/>
        <v>West</v>
      </c>
      <c r="N223" t="str">
        <f t="shared" si="38"/>
        <v>Pune</v>
      </c>
      <c r="O223" t="str">
        <f t="shared" si="39"/>
        <v>Enterprise</v>
      </c>
      <c r="P223" s="4" t="str">
        <f t="shared" si="40"/>
        <v>Direct</v>
      </c>
      <c r="Q223">
        <f t="shared" si="41"/>
        <v>6940.14</v>
      </c>
      <c r="R223" s="6">
        <f t="shared" si="42"/>
        <v>137249.46</v>
      </c>
      <c r="S223">
        <f t="shared" si="43"/>
        <v>0.95186795718970019</v>
      </c>
      <c r="T223">
        <f t="shared" si="44"/>
        <v>1.5427974197259486</v>
      </c>
      <c r="U223">
        <f t="shared" si="45"/>
        <v>50729.760000000009</v>
      </c>
      <c r="V223" t="str">
        <f t="shared" si="46"/>
        <v>Profitable</v>
      </c>
      <c r="W223" t="str" cm="1">
        <f t="array" ref="W223">_xlfn.IFS(S223&lt;0,"Loss", S223&lt;0.15,"Low Margin",S223&lt;0.3,"Medium High", TRUE, "High Margin")</f>
        <v>High Margin</v>
      </c>
      <c r="X223" t="str">
        <f t="shared" si="47"/>
        <v>08-2024</v>
      </c>
    </row>
    <row r="224" spans="1:24" x14ac:dyDescent="0.3">
      <c r="A224">
        <v>10130</v>
      </c>
      <c r="B224" s="1">
        <v>45347</v>
      </c>
      <c r="C224" t="s">
        <v>22</v>
      </c>
      <c r="D224" t="s">
        <v>23</v>
      </c>
      <c r="E224" t="s">
        <v>26</v>
      </c>
      <c r="F224" t="s">
        <v>14</v>
      </c>
      <c r="G224" t="s">
        <v>20</v>
      </c>
      <c r="H224" t="s">
        <v>21</v>
      </c>
      <c r="I224">
        <v>40125.69</v>
      </c>
      <c r="J224">
        <v>105864.74</v>
      </c>
      <c r="K224">
        <v>68525.740000000005</v>
      </c>
      <c r="L224" t="str">
        <f t="shared" si="36"/>
        <v>Amit</v>
      </c>
      <c r="M224" t="str">
        <f t="shared" si="37"/>
        <v>West</v>
      </c>
      <c r="N224" t="str">
        <f t="shared" si="38"/>
        <v>Mumbai</v>
      </c>
      <c r="O224" t="str">
        <f t="shared" si="39"/>
        <v>Enterprise</v>
      </c>
      <c r="P224" s="4" t="str">
        <f t="shared" si="40"/>
        <v>Online</v>
      </c>
      <c r="Q224">
        <f t="shared" si="41"/>
        <v>105864.74</v>
      </c>
      <c r="R224" s="6">
        <f t="shared" si="42"/>
        <v>-65739.05</v>
      </c>
      <c r="S224">
        <f t="shared" si="43"/>
        <v>-1.6383282131721597</v>
      </c>
      <c r="T224">
        <f t="shared" si="44"/>
        <v>0.58555646389225424</v>
      </c>
      <c r="U224">
        <f t="shared" si="45"/>
        <v>-28400.050000000003</v>
      </c>
      <c r="V224" t="str">
        <f t="shared" si="46"/>
        <v>Unprofitable</v>
      </c>
      <c r="W224" t="str" cm="1">
        <f t="array" ref="W224">_xlfn.IFS(S224&lt;0,"Loss", S224&lt;0.15,"Low Margin",S224&lt;0.3,"Medium High", TRUE, "High Margin")</f>
        <v>Loss</v>
      </c>
      <c r="X224" t="str">
        <f t="shared" si="47"/>
        <v>02-2024</v>
      </c>
    </row>
    <row r="225" spans="1:24" x14ac:dyDescent="0.3">
      <c r="A225">
        <v>10403</v>
      </c>
      <c r="B225" s="1">
        <v>45398</v>
      </c>
      <c r="C225" t="s">
        <v>36</v>
      </c>
      <c r="F225" t="s">
        <v>19</v>
      </c>
      <c r="G225" t="s">
        <v>42</v>
      </c>
      <c r="H225" t="s">
        <v>28</v>
      </c>
      <c r="I225">
        <v>157881.29</v>
      </c>
      <c r="J225">
        <v>31477.41</v>
      </c>
      <c r="L225" t="str">
        <f t="shared" si="36"/>
        <v>Amit</v>
      </c>
      <c r="M225" t="str">
        <f t="shared" si="37"/>
        <v>Unknown</v>
      </c>
      <c r="N225" t="str">
        <f t="shared" si="38"/>
        <v>Unknown</v>
      </c>
      <c r="O225" t="str">
        <f t="shared" si="39"/>
        <v>Startup</v>
      </c>
      <c r="P225" s="4" t="str">
        <f t="shared" si="40"/>
        <v>Direct</v>
      </c>
      <c r="Q225">
        <f t="shared" si="41"/>
        <v>31477.41</v>
      </c>
      <c r="R225" s="6">
        <f t="shared" si="42"/>
        <v>126403.88</v>
      </c>
      <c r="S225">
        <f t="shared" si="43"/>
        <v>0.80062609065330037</v>
      </c>
      <c r="T225">
        <f t="shared" si="44"/>
        <v>0</v>
      </c>
      <c r="U225">
        <f t="shared" si="45"/>
        <v>157881.29</v>
      </c>
      <c r="V225" t="str">
        <f t="shared" si="46"/>
        <v>Profitable</v>
      </c>
      <c r="W225" t="str" cm="1">
        <f t="array" ref="W225">_xlfn.IFS(S225&lt;0,"Loss", S225&lt;0.15,"Low Margin",S225&lt;0.3,"Medium High", TRUE, "High Margin")</f>
        <v>High Margin</v>
      </c>
      <c r="X225" t="str">
        <f t="shared" si="47"/>
        <v>04-2024</v>
      </c>
    </row>
    <row r="226" spans="1:24" x14ac:dyDescent="0.3">
      <c r="A226">
        <v>10151</v>
      </c>
      <c r="B226" s="1">
        <v>45339</v>
      </c>
      <c r="C226" t="s">
        <v>22</v>
      </c>
      <c r="D226" t="s">
        <v>12</v>
      </c>
      <c r="E226" t="s">
        <v>13</v>
      </c>
      <c r="F226" t="s">
        <v>32</v>
      </c>
      <c r="G226" t="s">
        <v>20</v>
      </c>
      <c r="H226" t="s">
        <v>16</v>
      </c>
      <c r="I226">
        <v>120084.37</v>
      </c>
      <c r="J226">
        <v>68208.45</v>
      </c>
      <c r="K226">
        <v>38983</v>
      </c>
      <c r="L226" t="str">
        <f t="shared" si="36"/>
        <v>Amit</v>
      </c>
      <c r="M226" t="str">
        <f t="shared" si="37"/>
        <v>South</v>
      </c>
      <c r="N226" t="str">
        <f t="shared" si="38"/>
        <v>Bengaluru</v>
      </c>
      <c r="O226" t="str">
        <f t="shared" si="39"/>
        <v>Smb</v>
      </c>
      <c r="P226" s="4" t="str">
        <f t="shared" si="40"/>
        <v>direct</v>
      </c>
      <c r="Q226">
        <f t="shared" si="41"/>
        <v>68208.45</v>
      </c>
      <c r="R226" s="6">
        <f t="shared" si="42"/>
        <v>51875.92</v>
      </c>
      <c r="S226">
        <f t="shared" si="43"/>
        <v>0.4319956044237897</v>
      </c>
      <c r="T226">
        <f t="shared" si="44"/>
        <v>3.0804291614293411</v>
      </c>
      <c r="U226">
        <f t="shared" si="45"/>
        <v>81101.37</v>
      </c>
      <c r="V226" t="str">
        <f t="shared" si="46"/>
        <v>Profitable</v>
      </c>
      <c r="W226" t="str" cm="1">
        <f t="array" ref="W226">_xlfn.IFS(S226&lt;0,"Loss", S226&lt;0.15,"Low Margin",S226&lt;0.3,"Medium High", TRUE, "High Margin")</f>
        <v>High Margin</v>
      </c>
      <c r="X226" t="str">
        <f t="shared" si="47"/>
        <v>02-2024</v>
      </c>
    </row>
    <row r="227" spans="1:24" x14ac:dyDescent="0.3">
      <c r="A227">
        <v>10053</v>
      </c>
      <c r="B227" s="1">
        <v>45352</v>
      </c>
      <c r="C227" t="s">
        <v>30</v>
      </c>
      <c r="D227" t="s">
        <v>34</v>
      </c>
      <c r="E227" t="s">
        <v>35</v>
      </c>
      <c r="F227" t="s">
        <v>32</v>
      </c>
      <c r="G227" t="s">
        <v>40</v>
      </c>
      <c r="H227" t="s">
        <v>28</v>
      </c>
      <c r="I227">
        <v>190826.58</v>
      </c>
      <c r="J227">
        <v>7560.58</v>
      </c>
      <c r="K227">
        <v>169399.91</v>
      </c>
      <c r="L227" t="str">
        <f t="shared" si="36"/>
        <v>Ankit</v>
      </c>
      <c r="M227" t="str">
        <f t="shared" si="37"/>
        <v>East</v>
      </c>
      <c r="N227" t="str">
        <f t="shared" si="38"/>
        <v>Hyderabad</v>
      </c>
      <c r="O227" t="str">
        <f t="shared" si="39"/>
        <v>Smb</v>
      </c>
      <c r="P227" s="4" t="str">
        <f t="shared" si="40"/>
        <v>Direct</v>
      </c>
      <c r="Q227">
        <f t="shared" si="41"/>
        <v>7560.58</v>
      </c>
      <c r="R227" s="6">
        <f t="shared" si="42"/>
        <v>183266</v>
      </c>
      <c r="S227">
        <f t="shared" si="43"/>
        <v>0.9603798380707762</v>
      </c>
      <c r="T227">
        <f t="shared" si="44"/>
        <v>1.1264857224540437</v>
      </c>
      <c r="U227">
        <f t="shared" si="45"/>
        <v>21426.669999999984</v>
      </c>
      <c r="V227" t="str">
        <f t="shared" si="46"/>
        <v>Profitable</v>
      </c>
      <c r="W227" t="str" cm="1">
        <f t="array" ref="W227">_xlfn.IFS(S227&lt;0,"Loss", S227&lt;0.15,"Low Margin",S227&lt;0.3,"Medium High", TRUE, "High Margin")</f>
        <v>High Margin</v>
      </c>
      <c r="X227" t="str">
        <f t="shared" si="47"/>
        <v>03-2024</v>
      </c>
    </row>
    <row r="228" spans="1:24" x14ac:dyDescent="0.3">
      <c r="A228">
        <v>10119</v>
      </c>
      <c r="B228" s="1">
        <v>45317</v>
      </c>
      <c r="C228" t="s">
        <v>29</v>
      </c>
      <c r="D228" t="s">
        <v>34</v>
      </c>
      <c r="E228" t="s">
        <v>44</v>
      </c>
      <c r="F228" t="s">
        <v>19</v>
      </c>
      <c r="G228" t="s">
        <v>20</v>
      </c>
      <c r="I228">
        <v>16145.08</v>
      </c>
      <c r="J228">
        <v>81021.14</v>
      </c>
      <c r="L228" t="str">
        <f t="shared" si="36"/>
        <v>Sneha</v>
      </c>
      <c r="M228" t="str">
        <f t="shared" si="37"/>
        <v>East</v>
      </c>
      <c r="N228" t="str">
        <f t="shared" si="38"/>
        <v>Pune</v>
      </c>
      <c r="O228" t="str">
        <f t="shared" si="39"/>
        <v>Startup</v>
      </c>
      <c r="P228" s="4" t="str">
        <f t="shared" si="40"/>
        <v>Unknown</v>
      </c>
      <c r="Q228">
        <f t="shared" si="41"/>
        <v>81021.14</v>
      </c>
      <c r="R228" s="6">
        <f t="shared" si="42"/>
        <v>-64876.06</v>
      </c>
      <c r="S228">
        <f t="shared" si="43"/>
        <v>-4.0183176546663129</v>
      </c>
      <c r="T228">
        <f t="shared" si="44"/>
        <v>0</v>
      </c>
      <c r="U228">
        <f t="shared" si="45"/>
        <v>16145.08</v>
      </c>
      <c r="V228" t="str">
        <f t="shared" si="46"/>
        <v>Unprofitable</v>
      </c>
      <c r="W228" t="str" cm="1">
        <f t="array" ref="W228">_xlfn.IFS(S228&lt;0,"Loss", S228&lt;0.15,"Low Margin",S228&lt;0.3,"Medium High", TRUE, "High Margin")</f>
        <v>Loss</v>
      </c>
      <c r="X228" t="str">
        <f t="shared" si="47"/>
        <v>01-2024</v>
      </c>
    </row>
    <row r="229" spans="1:24" x14ac:dyDescent="0.3">
      <c r="A229">
        <v>10586</v>
      </c>
      <c r="B229" s="1">
        <v>45548</v>
      </c>
      <c r="C229" t="s">
        <v>22</v>
      </c>
      <c r="D229" t="s">
        <v>12</v>
      </c>
      <c r="E229" t="s">
        <v>24</v>
      </c>
      <c r="F229" t="s">
        <v>39</v>
      </c>
      <c r="G229" t="s">
        <v>15</v>
      </c>
      <c r="H229" t="s">
        <v>28</v>
      </c>
      <c r="I229">
        <v>58942.62</v>
      </c>
      <c r="J229">
        <v>40794.199999999997</v>
      </c>
      <c r="L229" t="str">
        <f t="shared" si="36"/>
        <v>Amit</v>
      </c>
      <c r="M229" t="str">
        <f t="shared" si="37"/>
        <v>South</v>
      </c>
      <c r="N229" t="str">
        <f t="shared" si="38"/>
        <v>Chennai</v>
      </c>
      <c r="O229" t="str">
        <f t="shared" si="39"/>
        <v>Enterprise</v>
      </c>
      <c r="P229" s="4" t="str">
        <f t="shared" si="40"/>
        <v>Direct</v>
      </c>
      <c r="Q229">
        <f t="shared" si="41"/>
        <v>40794.199999999997</v>
      </c>
      <c r="R229" s="6">
        <f t="shared" si="42"/>
        <v>18148.420000000006</v>
      </c>
      <c r="S229">
        <f t="shared" si="43"/>
        <v>0.30789978457014644</v>
      </c>
      <c r="T229">
        <f t="shared" si="44"/>
        <v>0</v>
      </c>
      <c r="U229">
        <f t="shared" si="45"/>
        <v>58942.62</v>
      </c>
      <c r="V229" t="str">
        <f t="shared" si="46"/>
        <v>Profitable</v>
      </c>
      <c r="W229" t="str" cm="1">
        <f t="array" ref="W229">_xlfn.IFS(S229&lt;0,"Loss", S229&lt;0.15,"Low Margin",S229&lt;0.3,"Medium High", TRUE, "High Margin")</f>
        <v>High Margin</v>
      </c>
      <c r="X229" t="str">
        <f t="shared" si="47"/>
        <v>09-2024</v>
      </c>
    </row>
    <row r="230" spans="1:24" x14ac:dyDescent="0.3">
      <c r="A230">
        <v>10419</v>
      </c>
      <c r="B230" s="1">
        <v>45299</v>
      </c>
      <c r="C230" t="s">
        <v>30</v>
      </c>
      <c r="D230" t="s">
        <v>23</v>
      </c>
      <c r="F230" t="s">
        <v>32</v>
      </c>
      <c r="G230" t="s">
        <v>15</v>
      </c>
      <c r="I230">
        <v>123498.34</v>
      </c>
      <c r="J230">
        <v>108056.54</v>
      </c>
      <c r="K230">
        <v>25225.45</v>
      </c>
      <c r="L230" t="str">
        <f t="shared" si="36"/>
        <v>Ankit</v>
      </c>
      <c r="M230" t="str">
        <f t="shared" si="37"/>
        <v>West</v>
      </c>
      <c r="N230" t="str">
        <f t="shared" si="38"/>
        <v>Unknown</v>
      </c>
      <c r="O230" t="str">
        <f t="shared" si="39"/>
        <v>Smb</v>
      </c>
      <c r="P230" s="4" t="str">
        <f t="shared" si="40"/>
        <v>Unknown</v>
      </c>
      <c r="Q230">
        <f t="shared" si="41"/>
        <v>108056.54</v>
      </c>
      <c r="R230" s="6">
        <f t="shared" si="42"/>
        <v>15441.800000000003</v>
      </c>
      <c r="S230">
        <f t="shared" si="43"/>
        <v>0.12503649846629519</v>
      </c>
      <c r="T230">
        <f t="shared" si="44"/>
        <v>4.8957834250726942</v>
      </c>
      <c r="U230">
        <f t="shared" si="45"/>
        <v>98272.89</v>
      </c>
      <c r="V230" t="str">
        <f t="shared" si="46"/>
        <v>Profitable</v>
      </c>
      <c r="W230" t="str" cm="1">
        <f t="array" ref="W230">_xlfn.IFS(S230&lt;0,"Loss", S230&lt;0.15,"Low Margin",S230&lt;0.3,"Medium High", TRUE, "High Margin")</f>
        <v>Low Margin</v>
      </c>
      <c r="X230" t="str">
        <f t="shared" si="47"/>
        <v>01-2024</v>
      </c>
    </row>
    <row r="231" spans="1:24" x14ac:dyDescent="0.3">
      <c r="A231">
        <v>10421</v>
      </c>
      <c r="B231" s="1">
        <v>45404</v>
      </c>
      <c r="C231" t="s">
        <v>22</v>
      </c>
      <c r="D231" t="s">
        <v>31</v>
      </c>
      <c r="E231" t="s">
        <v>35</v>
      </c>
      <c r="G231" t="s">
        <v>27</v>
      </c>
      <c r="I231">
        <v>64939.5</v>
      </c>
      <c r="J231">
        <v>106909.83</v>
      </c>
      <c r="K231">
        <v>96095.39</v>
      </c>
      <c r="L231" t="str">
        <f t="shared" si="36"/>
        <v>Amit</v>
      </c>
      <c r="M231" t="str">
        <f t="shared" si="37"/>
        <v>South</v>
      </c>
      <c r="N231" t="str">
        <f t="shared" si="38"/>
        <v>Hyderabad</v>
      </c>
      <c r="O231" t="str">
        <f t="shared" si="39"/>
        <v>Unknown</v>
      </c>
      <c r="P231" s="4" t="str">
        <f t="shared" si="40"/>
        <v>Unknown</v>
      </c>
      <c r="Q231">
        <f t="shared" si="41"/>
        <v>106909.83</v>
      </c>
      <c r="R231" s="6">
        <f t="shared" si="42"/>
        <v>-41970.33</v>
      </c>
      <c r="S231">
        <f t="shared" si="43"/>
        <v>-0.64629893978241293</v>
      </c>
      <c r="T231">
        <f t="shared" si="44"/>
        <v>0.67578163739176245</v>
      </c>
      <c r="U231">
        <f t="shared" si="45"/>
        <v>-31155.89</v>
      </c>
      <c r="V231" t="str">
        <f t="shared" si="46"/>
        <v>Unprofitable</v>
      </c>
      <c r="W231" t="str" cm="1">
        <f t="array" ref="W231">_xlfn.IFS(S231&lt;0,"Loss", S231&lt;0.15,"Low Margin",S231&lt;0.3,"Medium High", TRUE, "High Margin")</f>
        <v>Loss</v>
      </c>
      <c r="X231" t="str">
        <f t="shared" si="47"/>
        <v>04-2024</v>
      </c>
    </row>
    <row r="232" spans="1:24" x14ac:dyDescent="0.3">
      <c r="A232">
        <v>10103</v>
      </c>
      <c r="B232" s="1">
        <v>45544</v>
      </c>
      <c r="D232" t="s">
        <v>17</v>
      </c>
      <c r="E232" t="s">
        <v>18</v>
      </c>
      <c r="F232" t="s">
        <v>19</v>
      </c>
      <c r="G232" t="s">
        <v>27</v>
      </c>
      <c r="I232">
        <v>145169.44</v>
      </c>
      <c r="J232">
        <v>41059</v>
      </c>
      <c r="L232" t="str">
        <f t="shared" si="36"/>
        <v>Unassigned</v>
      </c>
      <c r="M232" t="str">
        <f t="shared" si="37"/>
        <v>West</v>
      </c>
      <c r="N232" t="str">
        <f t="shared" si="38"/>
        <v>Bengaluru</v>
      </c>
      <c r="O232" t="str">
        <f t="shared" si="39"/>
        <v>Startup</v>
      </c>
      <c r="P232" s="4" t="str">
        <f t="shared" si="40"/>
        <v>Unknown</v>
      </c>
      <c r="Q232">
        <f t="shared" si="41"/>
        <v>41059</v>
      </c>
      <c r="R232" s="6">
        <f t="shared" si="42"/>
        <v>104110.44</v>
      </c>
      <c r="S232">
        <f t="shared" si="43"/>
        <v>0.71716499009708934</v>
      </c>
      <c r="T232">
        <f t="shared" si="44"/>
        <v>0</v>
      </c>
      <c r="U232">
        <f t="shared" si="45"/>
        <v>145169.44</v>
      </c>
      <c r="V232" t="str">
        <f t="shared" si="46"/>
        <v>Profitable</v>
      </c>
      <c r="W232" t="str" cm="1">
        <f t="array" ref="W232">_xlfn.IFS(S232&lt;0,"Loss", S232&lt;0.15,"Low Margin",S232&lt;0.3,"Medium High", TRUE, "High Margin")</f>
        <v>High Margin</v>
      </c>
      <c r="X232" t="str">
        <f t="shared" si="47"/>
        <v>09-2024</v>
      </c>
    </row>
    <row r="233" spans="1:24" x14ac:dyDescent="0.3">
      <c r="A233">
        <v>10253</v>
      </c>
      <c r="B233" s="1">
        <v>45471</v>
      </c>
      <c r="C233" t="s">
        <v>45</v>
      </c>
      <c r="D233" t="s">
        <v>34</v>
      </c>
      <c r="E233" t="s">
        <v>24</v>
      </c>
      <c r="F233" t="s">
        <v>19</v>
      </c>
      <c r="G233" t="s">
        <v>20</v>
      </c>
      <c r="H233" t="s">
        <v>16</v>
      </c>
      <c r="I233">
        <v>153729.01</v>
      </c>
      <c r="K233">
        <v>45795.01</v>
      </c>
      <c r="L233" t="str">
        <f t="shared" si="36"/>
        <v>Rahul</v>
      </c>
      <c r="M233" t="str">
        <f t="shared" si="37"/>
        <v>East</v>
      </c>
      <c r="N233" t="str">
        <f t="shared" si="38"/>
        <v>Chennai</v>
      </c>
      <c r="O233" t="str">
        <f t="shared" si="39"/>
        <v>Startup</v>
      </c>
      <c r="P233" s="4" t="str">
        <f t="shared" si="40"/>
        <v>direct</v>
      </c>
      <c r="Q233">
        <f t="shared" si="41"/>
        <v>0</v>
      </c>
      <c r="R233" s="6">
        <f t="shared" si="42"/>
        <v>153729.01</v>
      </c>
      <c r="S233">
        <f t="shared" si="43"/>
        <v>1</v>
      </c>
      <c r="T233">
        <f t="shared" si="44"/>
        <v>3.3568943428552589</v>
      </c>
      <c r="U233">
        <f t="shared" si="45"/>
        <v>107934</v>
      </c>
      <c r="V233" t="str">
        <f t="shared" si="46"/>
        <v>Profitable</v>
      </c>
      <c r="W233" t="str" cm="1">
        <f t="array" ref="W233">_xlfn.IFS(S233&lt;0,"Loss", S233&lt;0.15,"Low Margin",S233&lt;0.3,"Medium High", TRUE, "High Margin")</f>
        <v>High Margin</v>
      </c>
      <c r="X233" t="str">
        <f t="shared" si="47"/>
        <v>06-2024</v>
      </c>
    </row>
    <row r="234" spans="1:24" x14ac:dyDescent="0.3">
      <c r="A234">
        <v>10226</v>
      </c>
      <c r="B234" s="1">
        <v>45498</v>
      </c>
      <c r="C234" t="s">
        <v>11</v>
      </c>
      <c r="D234" t="s">
        <v>31</v>
      </c>
      <c r="E234" t="s">
        <v>38</v>
      </c>
      <c r="F234" t="s">
        <v>32</v>
      </c>
      <c r="G234" t="s">
        <v>42</v>
      </c>
      <c r="H234" t="s">
        <v>28</v>
      </c>
      <c r="I234">
        <v>27683.07</v>
      </c>
      <c r="J234">
        <v>119550.45</v>
      </c>
      <c r="K234">
        <v>125025.54</v>
      </c>
      <c r="L234" t="str">
        <f t="shared" si="36"/>
        <v>Rahul</v>
      </c>
      <c r="M234" t="str">
        <f t="shared" si="37"/>
        <v>South</v>
      </c>
      <c r="N234" t="str">
        <f t="shared" si="38"/>
        <v>Delhi</v>
      </c>
      <c r="O234" t="str">
        <f t="shared" si="39"/>
        <v>Smb</v>
      </c>
      <c r="P234" s="4" t="str">
        <f t="shared" si="40"/>
        <v>Direct</v>
      </c>
      <c r="Q234">
        <f t="shared" si="41"/>
        <v>119550.45</v>
      </c>
      <c r="R234" s="6">
        <f t="shared" si="42"/>
        <v>-91867.38</v>
      </c>
      <c r="S234">
        <f t="shared" si="43"/>
        <v>-3.3185401763604978</v>
      </c>
      <c r="T234">
        <f t="shared" si="44"/>
        <v>0.22141931960461839</v>
      </c>
      <c r="U234">
        <f t="shared" si="45"/>
        <v>-97342.47</v>
      </c>
      <c r="V234" t="str">
        <f t="shared" si="46"/>
        <v>Unprofitable</v>
      </c>
      <c r="W234" t="str" cm="1">
        <f t="array" ref="W234">_xlfn.IFS(S234&lt;0,"Loss", S234&lt;0.15,"Low Margin",S234&lt;0.3,"Medium High", TRUE, "High Margin")</f>
        <v>Loss</v>
      </c>
      <c r="X234" t="str">
        <f t="shared" si="47"/>
        <v>07-2024</v>
      </c>
    </row>
    <row r="235" spans="1:24" x14ac:dyDescent="0.3">
      <c r="A235">
        <v>10111</v>
      </c>
      <c r="B235" s="1">
        <v>45418</v>
      </c>
      <c r="C235" t="s">
        <v>41</v>
      </c>
      <c r="D235" t="s">
        <v>12</v>
      </c>
      <c r="E235" t="s">
        <v>18</v>
      </c>
      <c r="F235" t="s">
        <v>39</v>
      </c>
      <c r="G235" t="s">
        <v>15</v>
      </c>
      <c r="H235" t="s">
        <v>28</v>
      </c>
      <c r="I235">
        <v>106660.06</v>
      </c>
      <c r="J235">
        <v>99573.63</v>
      </c>
      <c r="K235">
        <v>175384.15</v>
      </c>
      <c r="L235" t="str">
        <f t="shared" si="36"/>
        <v>Neha</v>
      </c>
      <c r="M235" t="str">
        <f t="shared" si="37"/>
        <v>South</v>
      </c>
      <c r="N235" t="str">
        <f t="shared" si="38"/>
        <v>Bengaluru</v>
      </c>
      <c r="O235" t="str">
        <f t="shared" si="39"/>
        <v>Enterprise</v>
      </c>
      <c r="P235" s="4" t="str">
        <f t="shared" si="40"/>
        <v>Direct</v>
      </c>
      <c r="Q235">
        <f t="shared" si="41"/>
        <v>99573.63</v>
      </c>
      <c r="R235" s="6">
        <f t="shared" si="42"/>
        <v>7086.429999999993</v>
      </c>
      <c r="S235">
        <f t="shared" si="43"/>
        <v>6.6439396340110757E-2</v>
      </c>
      <c r="T235">
        <f t="shared" si="44"/>
        <v>0.60815107864650253</v>
      </c>
      <c r="U235">
        <f t="shared" si="45"/>
        <v>-68724.09</v>
      </c>
      <c r="V235" t="str">
        <f t="shared" si="46"/>
        <v>Profitable</v>
      </c>
      <c r="W235" t="str" cm="1">
        <f t="array" ref="W235">_xlfn.IFS(S235&lt;0,"Loss", S235&lt;0.15,"Low Margin",S235&lt;0.3,"Medium High", TRUE, "High Margin")</f>
        <v>Low Margin</v>
      </c>
      <c r="X235" t="str">
        <f t="shared" si="47"/>
        <v>05-2024</v>
      </c>
    </row>
    <row r="236" spans="1:24" x14ac:dyDescent="0.3">
      <c r="A236">
        <v>10509</v>
      </c>
      <c r="B236" s="1">
        <v>45347</v>
      </c>
      <c r="C236" t="s">
        <v>22</v>
      </c>
      <c r="D236" t="s">
        <v>31</v>
      </c>
      <c r="G236" t="s">
        <v>42</v>
      </c>
      <c r="H236" t="s">
        <v>16</v>
      </c>
      <c r="I236">
        <v>105706.99</v>
      </c>
      <c r="J236">
        <v>101849.95</v>
      </c>
      <c r="K236">
        <v>109950.21</v>
      </c>
      <c r="L236" t="str">
        <f t="shared" si="36"/>
        <v>Amit</v>
      </c>
      <c r="M236" t="str">
        <f t="shared" si="37"/>
        <v>South</v>
      </c>
      <c r="N236" t="str">
        <f t="shared" si="38"/>
        <v>Unknown</v>
      </c>
      <c r="O236" t="str">
        <f t="shared" si="39"/>
        <v>Unknown</v>
      </c>
      <c r="P236" s="4" t="str">
        <f t="shared" si="40"/>
        <v>direct</v>
      </c>
      <c r="Q236">
        <f t="shared" si="41"/>
        <v>101849.95</v>
      </c>
      <c r="R236" s="6">
        <f t="shared" si="42"/>
        <v>3857.0400000000081</v>
      </c>
      <c r="S236">
        <f t="shared" si="43"/>
        <v>3.6488031680781075E-2</v>
      </c>
      <c r="T236">
        <f t="shared" si="44"/>
        <v>0.9614078044962352</v>
      </c>
      <c r="U236">
        <f t="shared" si="45"/>
        <v>-4243.2200000000012</v>
      </c>
      <c r="V236" t="str">
        <f t="shared" si="46"/>
        <v>Profitable</v>
      </c>
      <c r="W236" t="str" cm="1">
        <f t="array" ref="W236">_xlfn.IFS(S236&lt;0,"Loss", S236&lt;0.15,"Low Margin",S236&lt;0.3,"Medium High", TRUE, "High Margin")</f>
        <v>Low Margin</v>
      </c>
      <c r="X236" t="str">
        <f t="shared" si="47"/>
        <v>02-2024</v>
      </c>
    </row>
    <row r="237" spans="1:24" x14ac:dyDescent="0.3">
      <c r="A237">
        <v>10472</v>
      </c>
      <c r="B237" s="1">
        <v>45505</v>
      </c>
      <c r="C237" t="s">
        <v>41</v>
      </c>
      <c r="E237" t="s">
        <v>18</v>
      </c>
      <c r="F237" t="s">
        <v>39</v>
      </c>
      <c r="G237" t="s">
        <v>42</v>
      </c>
      <c r="H237" t="s">
        <v>21</v>
      </c>
      <c r="I237">
        <v>78901.91</v>
      </c>
      <c r="J237">
        <v>32134.02</v>
      </c>
      <c r="K237">
        <v>134360.51999999999</v>
      </c>
      <c r="L237" t="str">
        <f t="shared" si="36"/>
        <v>Neha</v>
      </c>
      <c r="M237" t="str">
        <f t="shared" si="37"/>
        <v>Unknown</v>
      </c>
      <c r="N237" t="str">
        <f t="shared" si="38"/>
        <v>Bengaluru</v>
      </c>
      <c r="O237" t="str">
        <f t="shared" si="39"/>
        <v>Enterprise</v>
      </c>
      <c r="P237" s="4" t="str">
        <f t="shared" si="40"/>
        <v>Online</v>
      </c>
      <c r="Q237">
        <f t="shared" si="41"/>
        <v>32134.02</v>
      </c>
      <c r="R237" s="6">
        <f t="shared" si="42"/>
        <v>46767.89</v>
      </c>
      <c r="S237">
        <f t="shared" si="43"/>
        <v>0.59273457385252137</v>
      </c>
      <c r="T237">
        <f t="shared" si="44"/>
        <v>0.5872402845716882</v>
      </c>
      <c r="U237">
        <f t="shared" si="45"/>
        <v>-55458.609999999986</v>
      </c>
      <c r="V237" t="str">
        <f t="shared" si="46"/>
        <v>Profitable</v>
      </c>
      <c r="W237" t="str" cm="1">
        <f t="array" ref="W237">_xlfn.IFS(S237&lt;0,"Loss", S237&lt;0.15,"Low Margin",S237&lt;0.3,"Medium High", TRUE, "High Margin")</f>
        <v>High Margin</v>
      </c>
      <c r="X237" t="str">
        <f t="shared" si="47"/>
        <v>08-2024</v>
      </c>
    </row>
    <row r="238" spans="1:24" x14ac:dyDescent="0.3">
      <c r="A238">
        <v>10098</v>
      </c>
      <c r="B238" s="1">
        <v>45305</v>
      </c>
      <c r="C238" t="s">
        <v>25</v>
      </c>
      <c r="D238" t="s">
        <v>37</v>
      </c>
      <c r="E238" t="s">
        <v>38</v>
      </c>
      <c r="F238" t="s">
        <v>14</v>
      </c>
      <c r="G238" t="s">
        <v>20</v>
      </c>
      <c r="H238" t="s">
        <v>33</v>
      </c>
      <c r="I238">
        <v>187121.57</v>
      </c>
      <c r="J238">
        <v>70474.179999999993</v>
      </c>
      <c r="K238">
        <v>30952.07</v>
      </c>
      <c r="L238" t="str">
        <f t="shared" si="36"/>
        <v>Priya</v>
      </c>
      <c r="M238" t="str">
        <f t="shared" si="37"/>
        <v>North</v>
      </c>
      <c r="N238" t="str">
        <f t="shared" si="38"/>
        <v>Delhi</v>
      </c>
      <c r="O238" t="str">
        <f t="shared" si="39"/>
        <v>Enterprise</v>
      </c>
      <c r="P238" s="4" t="str">
        <f t="shared" si="40"/>
        <v>Partner</v>
      </c>
      <c r="Q238">
        <f t="shared" si="41"/>
        <v>70474.179999999993</v>
      </c>
      <c r="R238" s="6">
        <f t="shared" si="42"/>
        <v>116647.39000000001</v>
      </c>
      <c r="S238">
        <f t="shared" si="43"/>
        <v>0.6233775721313155</v>
      </c>
      <c r="T238">
        <f t="shared" si="44"/>
        <v>6.0455268419850432</v>
      </c>
      <c r="U238">
        <f t="shared" si="45"/>
        <v>156169.5</v>
      </c>
      <c r="V238" t="str">
        <f t="shared" si="46"/>
        <v>Profitable</v>
      </c>
      <c r="W238" t="str" cm="1">
        <f t="array" ref="W238">_xlfn.IFS(S238&lt;0,"Loss", S238&lt;0.15,"Low Margin",S238&lt;0.3,"Medium High", TRUE, "High Margin")</f>
        <v>High Margin</v>
      </c>
      <c r="X238" t="str">
        <f t="shared" si="47"/>
        <v>01-2024</v>
      </c>
    </row>
    <row r="239" spans="1:24" x14ac:dyDescent="0.3">
      <c r="A239">
        <v>10152</v>
      </c>
      <c r="B239" s="1">
        <v>45319</v>
      </c>
      <c r="C239" t="s">
        <v>22</v>
      </c>
      <c r="D239" t="s">
        <v>34</v>
      </c>
      <c r="E239" t="s">
        <v>44</v>
      </c>
      <c r="F239" t="s">
        <v>14</v>
      </c>
      <c r="G239" t="s">
        <v>42</v>
      </c>
      <c r="H239" t="s">
        <v>28</v>
      </c>
      <c r="I239">
        <v>166881.21</v>
      </c>
      <c r="J239">
        <v>10868.94</v>
      </c>
      <c r="K239">
        <v>86826.72</v>
      </c>
      <c r="L239" t="str">
        <f t="shared" si="36"/>
        <v>Amit</v>
      </c>
      <c r="M239" t="str">
        <f t="shared" si="37"/>
        <v>East</v>
      </c>
      <c r="N239" t="str">
        <f t="shared" si="38"/>
        <v>Pune</v>
      </c>
      <c r="O239" t="str">
        <f t="shared" si="39"/>
        <v>Enterprise</v>
      </c>
      <c r="P239" s="4" t="str">
        <f t="shared" si="40"/>
        <v>Direct</v>
      </c>
      <c r="Q239">
        <f t="shared" si="41"/>
        <v>10868.94</v>
      </c>
      <c r="R239" s="6">
        <f t="shared" si="42"/>
        <v>156012.26999999999</v>
      </c>
      <c r="S239">
        <f t="shared" si="43"/>
        <v>0.93487019898765111</v>
      </c>
      <c r="T239">
        <f t="shared" si="44"/>
        <v>1.9220029272095041</v>
      </c>
      <c r="U239">
        <f t="shared" si="45"/>
        <v>80054.489999999991</v>
      </c>
      <c r="V239" t="str">
        <f t="shared" si="46"/>
        <v>Profitable</v>
      </c>
      <c r="W239" t="str" cm="1">
        <f t="array" ref="W239">_xlfn.IFS(S239&lt;0,"Loss", S239&lt;0.15,"Low Margin",S239&lt;0.3,"Medium High", TRUE, "High Margin")</f>
        <v>High Margin</v>
      </c>
      <c r="X239" t="str">
        <f t="shared" si="47"/>
        <v>01-2024</v>
      </c>
    </row>
    <row r="240" spans="1:24" x14ac:dyDescent="0.3">
      <c r="A240">
        <v>10337</v>
      </c>
      <c r="B240" s="1">
        <v>45369</v>
      </c>
      <c r="C240" t="s">
        <v>45</v>
      </c>
      <c r="D240" t="s">
        <v>12</v>
      </c>
      <c r="E240" t="s">
        <v>18</v>
      </c>
      <c r="F240" t="s">
        <v>32</v>
      </c>
      <c r="G240" t="s">
        <v>15</v>
      </c>
      <c r="H240" t="s">
        <v>33</v>
      </c>
      <c r="I240">
        <v>141864.20000000001</v>
      </c>
      <c r="K240">
        <v>38617.360000000001</v>
      </c>
      <c r="L240" t="str">
        <f t="shared" si="36"/>
        <v>Rahul</v>
      </c>
      <c r="M240" t="str">
        <f t="shared" si="37"/>
        <v>South</v>
      </c>
      <c r="N240" t="str">
        <f t="shared" si="38"/>
        <v>Bengaluru</v>
      </c>
      <c r="O240" t="str">
        <f t="shared" si="39"/>
        <v>Smb</v>
      </c>
      <c r="P240" s="4" t="str">
        <f t="shared" si="40"/>
        <v>Partner</v>
      </c>
      <c r="Q240">
        <f t="shared" si="41"/>
        <v>0</v>
      </c>
      <c r="R240" s="6">
        <f t="shared" si="42"/>
        <v>141864.20000000001</v>
      </c>
      <c r="S240">
        <f t="shared" si="43"/>
        <v>1</v>
      </c>
      <c r="T240">
        <f t="shared" si="44"/>
        <v>3.6735861798942242</v>
      </c>
      <c r="U240">
        <f t="shared" si="45"/>
        <v>103246.84000000001</v>
      </c>
      <c r="V240" t="str">
        <f t="shared" si="46"/>
        <v>Profitable</v>
      </c>
      <c r="W240" t="str" cm="1">
        <f t="array" ref="W240">_xlfn.IFS(S240&lt;0,"Loss", S240&lt;0.15,"Low Margin",S240&lt;0.3,"Medium High", TRUE, "High Margin")</f>
        <v>High Margin</v>
      </c>
      <c r="X240" t="str">
        <f t="shared" si="47"/>
        <v>03-2024</v>
      </c>
    </row>
    <row r="241" spans="1:24" x14ac:dyDescent="0.3">
      <c r="A241">
        <v>10162</v>
      </c>
      <c r="B241" s="1">
        <v>45507</v>
      </c>
      <c r="C241" t="s">
        <v>41</v>
      </c>
      <c r="D241" t="s">
        <v>17</v>
      </c>
      <c r="E241" t="s">
        <v>13</v>
      </c>
      <c r="F241" t="s">
        <v>32</v>
      </c>
      <c r="G241" t="s">
        <v>40</v>
      </c>
      <c r="H241" t="s">
        <v>16</v>
      </c>
      <c r="I241">
        <v>145150.71</v>
      </c>
      <c r="J241">
        <v>119870.44</v>
      </c>
      <c r="K241">
        <v>118047.33</v>
      </c>
      <c r="L241" t="str">
        <f t="shared" si="36"/>
        <v>Neha</v>
      </c>
      <c r="M241" t="str">
        <f t="shared" si="37"/>
        <v>West</v>
      </c>
      <c r="N241" t="str">
        <f t="shared" si="38"/>
        <v>Bengaluru</v>
      </c>
      <c r="O241" t="str">
        <f t="shared" si="39"/>
        <v>Smb</v>
      </c>
      <c r="P241" s="4" t="str">
        <f t="shared" si="40"/>
        <v>direct</v>
      </c>
      <c r="Q241">
        <f t="shared" si="41"/>
        <v>119870.44</v>
      </c>
      <c r="R241" s="6">
        <f t="shared" si="42"/>
        <v>25280.26999999999</v>
      </c>
      <c r="S241">
        <f t="shared" si="43"/>
        <v>0.17416566546591464</v>
      </c>
      <c r="T241">
        <f t="shared" si="44"/>
        <v>1.2295975690428576</v>
      </c>
      <c r="U241">
        <f t="shared" si="45"/>
        <v>27103.37999999999</v>
      </c>
      <c r="V241" t="str">
        <f t="shared" si="46"/>
        <v>Profitable</v>
      </c>
      <c r="W241" t="str" cm="1">
        <f t="array" ref="W241">_xlfn.IFS(S241&lt;0,"Loss", S241&lt;0.15,"Low Margin",S241&lt;0.3,"Medium High", TRUE, "High Margin")</f>
        <v>Medium High</v>
      </c>
      <c r="X241" t="str">
        <f t="shared" si="47"/>
        <v>08-2024</v>
      </c>
    </row>
    <row r="242" spans="1:24" x14ac:dyDescent="0.3">
      <c r="A242">
        <v>10160</v>
      </c>
      <c r="B242" s="1">
        <v>45445</v>
      </c>
      <c r="C242" t="s">
        <v>22</v>
      </c>
      <c r="D242" t="s">
        <v>23</v>
      </c>
      <c r="E242" t="s">
        <v>24</v>
      </c>
      <c r="F242" t="s">
        <v>32</v>
      </c>
      <c r="G242" t="s">
        <v>27</v>
      </c>
      <c r="H242" t="s">
        <v>21</v>
      </c>
      <c r="I242">
        <v>96649.5</v>
      </c>
      <c r="K242">
        <v>170157.15</v>
      </c>
      <c r="L242" t="str">
        <f t="shared" si="36"/>
        <v>Amit</v>
      </c>
      <c r="M242" t="str">
        <f t="shared" si="37"/>
        <v>West</v>
      </c>
      <c r="N242" t="str">
        <f t="shared" si="38"/>
        <v>Chennai</v>
      </c>
      <c r="O242" t="str">
        <f t="shared" si="39"/>
        <v>Smb</v>
      </c>
      <c r="P242" s="4" t="str">
        <f t="shared" si="40"/>
        <v>Online</v>
      </c>
      <c r="Q242">
        <f t="shared" si="41"/>
        <v>0</v>
      </c>
      <c r="R242" s="6">
        <f t="shared" si="42"/>
        <v>96649.5</v>
      </c>
      <c r="S242">
        <f t="shared" si="43"/>
        <v>1</v>
      </c>
      <c r="T242">
        <f t="shared" si="44"/>
        <v>0.56800140340855498</v>
      </c>
      <c r="U242">
        <f t="shared" si="45"/>
        <v>-73507.649999999994</v>
      </c>
      <c r="V242" t="str">
        <f t="shared" si="46"/>
        <v>Profitable</v>
      </c>
      <c r="W242" t="str" cm="1">
        <f t="array" ref="W242">_xlfn.IFS(S242&lt;0,"Loss", S242&lt;0.15,"Low Margin",S242&lt;0.3,"Medium High", TRUE, "High Margin")</f>
        <v>High Margin</v>
      </c>
      <c r="X242" t="str">
        <f t="shared" si="47"/>
        <v>06-2024</v>
      </c>
    </row>
    <row r="243" spans="1:24" x14ac:dyDescent="0.3">
      <c r="A243">
        <v>10579</v>
      </c>
      <c r="B243" s="1">
        <v>45305</v>
      </c>
      <c r="C243" t="s">
        <v>36</v>
      </c>
      <c r="E243" t="s">
        <v>35</v>
      </c>
      <c r="F243" t="s">
        <v>14</v>
      </c>
      <c r="G243" t="s">
        <v>40</v>
      </c>
      <c r="H243" t="s">
        <v>21</v>
      </c>
      <c r="I243">
        <v>184830.95</v>
      </c>
      <c r="J243">
        <v>90537.52</v>
      </c>
      <c r="K243">
        <v>125884.44</v>
      </c>
      <c r="L243" t="str">
        <f t="shared" si="36"/>
        <v>Amit</v>
      </c>
      <c r="M243" t="str">
        <f t="shared" si="37"/>
        <v>Unknown</v>
      </c>
      <c r="N243" t="str">
        <f t="shared" si="38"/>
        <v>Hyderabad</v>
      </c>
      <c r="O243" t="str">
        <f t="shared" si="39"/>
        <v>Enterprise</v>
      </c>
      <c r="P243" s="4" t="str">
        <f t="shared" si="40"/>
        <v>Online</v>
      </c>
      <c r="Q243">
        <f t="shared" si="41"/>
        <v>90537.52</v>
      </c>
      <c r="R243" s="6">
        <f t="shared" si="42"/>
        <v>94293.430000000008</v>
      </c>
      <c r="S243">
        <f t="shared" si="43"/>
        <v>0.51016039251002065</v>
      </c>
      <c r="T243">
        <f t="shared" si="44"/>
        <v>1.4682589047542334</v>
      </c>
      <c r="U243">
        <f t="shared" si="45"/>
        <v>58946.510000000009</v>
      </c>
      <c r="V243" t="str">
        <f t="shared" si="46"/>
        <v>Profitable</v>
      </c>
      <c r="W243" t="str" cm="1">
        <f t="array" ref="W243">_xlfn.IFS(S243&lt;0,"Loss", S243&lt;0.15,"Low Margin",S243&lt;0.3,"Medium High", TRUE, "High Margin")</f>
        <v>High Margin</v>
      </c>
      <c r="X243" t="str">
        <f t="shared" si="47"/>
        <v>01-2024</v>
      </c>
    </row>
    <row r="244" spans="1:24" x14ac:dyDescent="0.3">
      <c r="A244">
        <v>10397</v>
      </c>
      <c r="B244" s="1">
        <v>45478</v>
      </c>
      <c r="C244" t="s">
        <v>11</v>
      </c>
      <c r="D244" t="s">
        <v>12</v>
      </c>
      <c r="E244" t="s">
        <v>18</v>
      </c>
      <c r="F244" t="s">
        <v>39</v>
      </c>
      <c r="G244" t="s">
        <v>42</v>
      </c>
      <c r="H244" t="s">
        <v>21</v>
      </c>
      <c r="I244">
        <v>141362.32</v>
      </c>
      <c r="J244">
        <v>97379.81</v>
      </c>
      <c r="L244" t="str">
        <f t="shared" si="36"/>
        <v>Rahul</v>
      </c>
      <c r="M244" t="str">
        <f t="shared" si="37"/>
        <v>South</v>
      </c>
      <c r="N244" t="str">
        <f t="shared" si="38"/>
        <v>Bengaluru</v>
      </c>
      <c r="O244" t="str">
        <f t="shared" si="39"/>
        <v>Enterprise</v>
      </c>
      <c r="P244" s="4" t="str">
        <f t="shared" si="40"/>
        <v>Online</v>
      </c>
      <c r="Q244">
        <f t="shared" si="41"/>
        <v>97379.81</v>
      </c>
      <c r="R244" s="6">
        <f t="shared" si="42"/>
        <v>43982.510000000009</v>
      </c>
      <c r="S244">
        <f t="shared" si="43"/>
        <v>0.31113319306021581</v>
      </c>
      <c r="T244">
        <f t="shared" si="44"/>
        <v>0</v>
      </c>
      <c r="U244">
        <f t="shared" si="45"/>
        <v>141362.32</v>
      </c>
      <c r="V244" t="str">
        <f t="shared" si="46"/>
        <v>Profitable</v>
      </c>
      <c r="W244" t="str" cm="1">
        <f t="array" ref="W244">_xlfn.IFS(S244&lt;0,"Loss", S244&lt;0.15,"Low Margin",S244&lt;0.3,"Medium High", TRUE, "High Margin")</f>
        <v>High Margin</v>
      </c>
      <c r="X244" t="str">
        <f t="shared" si="47"/>
        <v>07-2024</v>
      </c>
    </row>
    <row r="245" spans="1:24" x14ac:dyDescent="0.3">
      <c r="A245">
        <v>10276</v>
      </c>
      <c r="B245" s="1">
        <v>45298</v>
      </c>
      <c r="C245" t="s">
        <v>45</v>
      </c>
      <c r="D245" t="s">
        <v>17</v>
      </c>
      <c r="E245" t="s">
        <v>24</v>
      </c>
      <c r="F245" t="s">
        <v>39</v>
      </c>
      <c r="G245" t="s">
        <v>40</v>
      </c>
      <c r="H245" t="s">
        <v>16</v>
      </c>
      <c r="I245">
        <v>147964.35999999999</v>
      </c>
      <c r="J245">
        <v>103388.72</v>
      </c>
      <c r="K245">
        <v>76746.59</v>
      </c>
      <c r="L245" t="str">
        <f t="shared" si="36"/>
        <v>Rahul</v>
      </c>
      <c r="M245" t="str">
        <f t="shared" si="37"/>
        <v>West</v>
      </c>
      <c r="N245" t="str">
        <f t="shared" si="38"/>
        <v>Chennai</v>
      </c>
      <c r="O245" t="str">
        <f t="shared" si="39"/>
        <v>Enterprise</v>
      </c>
      <c r="P245" s="4" t="str">
        <f t="shared" si="40"/>
        <v>direct</v>
      </c>
      <c r="Q245">
        <f t="shared" si="41"/>
        <v>103388.72</v>
      </c>
      <c r="R245" s="6">
        <f t="shared" si="42"/>
        <v>44575.639999999985</v>
      </c>
      <c r="S245">
        <f t="shared" si="43"/>
        <v>0.30125930325383754</v>
      </c>
      <c r="T245">
        <f t="shared" si="44"/>
        <v>1.9279600565966513</v>
      </c>
      <c r="U245">
        <f t="shared" si="45"/>
        <v>71217.76999999999</v>
      </c>
      <c r="V245" t="str">
        <f t="shared" si="46"/>
        <v>Profitable</v>
      </c>
      <c r="W245" t="str" cm="1">
        <f t="array" ref="W245">_xlfn.IFS(S245&lt;0,"Loss", S245&lt;0.15,"Low Margin",S245&lt;0.3,"Medium High", TRUE, "High Margin")</f>
        <v>High Margin</v>
      </c>
      <c r="X245" t="str">
        <f t="shared" si="47"/>
        <v>01-2024</v>
      </c>
    </row>
    <row r="246" spans="1:24" x14ac:dyDescent="0.3">
      <c r="A246">
        <v>10503</v>
      </c>
      <c r="B246" s="1">
        <v>45294</v>
      </c>
      <c r="C246" t="s">
        <v>41</v>
      </c>
      <c r="D246" t="s">
        <v>23</v>
      </c>
      <c r="E246" t="s">
        <v>26</v>
      </c>
      <c r="F246" t="s">
        <v>32</v>
      </c>
      <c r="G246" t="s">
        <v>15</v>
      </c>
      <c r="I246">
        <v>173444.65</v>
      </c>
      <c r="J246">
        <v>119722.51</v>
      </c>
      <c r="K246">
        <v>108106.14</v>
      </c>
      <c r="L246" t="str">
        <f t="shared" si="36"/>
        <v>Neha</v>
      </c>
      <c r="M246" t="str">
        <f t="shared" si="37"/>
        <v>West</v>
      </c>
      <c r="N246" t="str">
        <f t="shared" si="38"/>
        <v>Mumbai</v>
      </c>
      <c r="O246" t="str">
        <f t="shared" si="39"/>
        <v>Smb</v>
      </c>
      <c r="P246" s="4" t="str">
        <f t="shared" si="40"/>
        <v>Unknown</v>
      </c>
      <c r="Q246">
        <f t="shared" si="41"/>
        <v>119722.51</v>
      </c>
      <c r="R246" s="6">
        <f t="shared" si="42"/>
        <v>53722.14</v>
      </c>
      <c r="S246">
        <f t="shared" si="43"/>
        <v>0.30973650671842573</v>
      </c>
      <c r="T246">
        <f t="shared" si="44"/>
        <v>1.6043922204603733</v>
      </c>
      <c r="U246">
        <f t="shared" si="45"/>
        <v>65338.509999999995</v>
      </c>
      <c r="V246" t="str">
        <f t="shared" si="46"/>
        <v>Profitable</v>
      </c>
      <c r="W246" t="str" cm="1">
        <f t="array" ref="W246">_xlfn.IFS(S246&lt;0,"Loss", S246&lt;0.15,"Low Margin",S246&lt;0.3,"Medium High", TRUE, "High Margin")</f>
        <v>High Margin</v>
      </c>
      <c r="X246" t="str">
        <f t="shared" si="47"/>
        <v>01-2024</v>
      </c>
    </row>
    <row r="247" spans="1:24" x14ac:dyDescent="0.3">
      <c r="A247">
        <v>10391</v>
      </c>
      <c r="B247" s="1">
        <v>45402</v>
      </c>
      <c r="C247" t="s">
        <v>45</v>
      </c>
      <c r="D247" t="s">
        <v>23</v>
      </c>
      <c r="E247" t="s">
        <v>24</v>
      </c>
      <c r="G247" t="s">
        <v>15</v>
      </c>
      <c r="I247">
        <v>60621.75</v>
      </c>
      <c r="J247">
        <v>31255.09</v>
      </c>
      <c r="K247">
        <v>84513.24</v>
      </c>
      <c r="L247" t="str">
        <f t="shared" si="36"/>
        <v>Rahul</v>
      </c>
      <c r="M247" t="str">
        <f t="shared" si="37"/>
        <v>West</v>
      </c>
      <c r="N247" t="str">
        <f t="shared" si="38"/>
        <v>Chennai</v>
      </c>
      <c r="O247" t="str">
        <f t="shared" si="39"/>
        <v>Unknown</v>
      </c>
      <c r="P247" s="4" t="str">
        <f t="shared" si="40"/>
        <v>Unknown</v>
      </c>
      <c r="Q247">
        <f t="shared" si="41"/>
        <v>31255.09</v>
      </c>
      <c r="R247" s="6">
        <f t="shared" si="42"/>
        <v>29366.66</v>
      </c>
      <c r="S247">
        <f t="shared" si="43"/>
        <v>0.48442448461154619</v>
      </c>
      <c r="T247">
        <f t="shared" si="44"/>
        <v>0.71730476786832453</v>
      </c>
      <c r="U247">
        <f t="shared" si="45"/>
        <v>-23891.490000000005</v>
      </c>
      <c r="V247" t="str">
        <f t="shared" si="46"/>
        <v>Profitable</v>
      </c>
      <c r="W247" t="str" cm="1">
        <f t="array" ref="W247">_xlfn.IFS(S247&lt;0,"Loss", S247&lt;0.15,"Low Margin",S247&lt;0.3,"Medium High", TRUE, "High Margin")</f>
        <v>High Margin</v>
      </c>
      <c r="X247" t="str">
        <f t="shared" si="47"/>
        <v>04-2024</v>
      </c>
    </row>
    <row r="248" spans="1:24" x14ac:dyDescent="0.3">
      <c r="A248">
        <v>10134</v>
      </c>
      <c r="B248" s="1">
        <v>45529</v>
      </c>
      <c r="C248" t="s">
        <v>30</v>
      </c>
      <c r="D248" t="s">
        <v>12</v>
      </c>
      <c r="E248" t="s">
        <v>35</v>
      </c>
      <c r="F248" t="s">
        <v>39</v>
      </c>
      <c r="G248" t="s">
        <v>42</v>
      </c>
      <c r="H248" t="s">
        <v>33</v>
      </c>
      <c r="I248">
        <v>162957.60999999999</v>
      </c>
      <c r="J248">
        <v>7721.05</v>
      </c>
      <c r="K248">
        <v>153383.04000000001</v>
      </c>
      <c r="L248" t="str">
        <f t="shared" si="36"/>
        <v>Ankit</v>
      </c>
      <c r="M248" t="str">
        <f t="shared" si="37"/>
        <v>South</v>
      </c>
      <c r="N248" t="str">
        <f t="shared" si="38"/>
        <v>Hyderabad</v>
      </c>
      <c r="O248" t="str">
        <f t="shared" si="39"/>
        <v>Enterprise</v>
      </c>
      <c r="P248" s="4" t="str">
        <f t="shared" si="40"/>
        <v>Partner</v>
      </c>
      <c r="Q248">
        <f t="shared" si="41"/>
        <v>7721.05</v>
      </c>
      <c r="R248" s="6">
        <f t="shared" si="42"/>
        <v>155236.56</v>
      </c>
      <c r="S248">
        <f t="shared" si="43"/>
        <v>0.95261927319626261</v>
      </c>
      <c r="T248">
        <f t="shared" si="44"/>
        <v>1.0624226120436782</v>
      </c>
      <c r="U248">
        <f t="shared" si="45"/>
        <v>9574.5699999999779</v>
      </c>
      <c r="V248" t="str">
        <f t="shared" si="46"/>
        <v>Profitable</v>
      </c>
      <c r="W248" t="str" cm="1">
        <f t="array" ref="W248">_xlfn.IFS(S248&lt;0,"Loss", S248&lt;0.15,"Low Margin",S248&lt;0.3,"Medium High", TRUE, "High Margin")</f>
        <v>High Margin</v>
      </c>
      <c r="X248" t="str">
        <f t="shared" si="47"/>
        <v>08-2024</v>
      </c>
    </row>
    <row r="249" spans="1:24" x14ac:dyDescent="0.3">
      <c r="A249">
        <v>10194</v>
      </c>
      <c r="B249" s="1">
        <v>45530</v>
      </c>
      <c r="C249" t="s">
        <v>11</v>
      </c>
      <c r="E249" t="s">
        <v>24</v>
      </c>
      <c r="F249" t="s">
        <v>14</v>
      </c>
      <c r="G249" t="s">
        <v>20</v>
      </c>
      <c r="I249">
        <v>45486.2</v>
      </c>
      <c r="L249" t="str">
        <f t="shared" si="36"/>
        <v>Rahul</v>
      </c>
      <c r="M249" t="str">
        <f t="shared" si="37"/>
        <v>Unknown</v>
      </c>
      <c r="N249" t="str">
        <f t="shared" si="38"/>
        <v>Chennai</v>
      </c>
      <c r="O249" t="str">
        <f t="shared" si="39"/>
        <v>Enterprise</v>
      </c>
      <c r="P249" s="4" t="str">
        <f t="shared" si="40"/>
        <v>Unknown</v>
      </c>
      <c r="Q249">
        <f t="shared" si="41"/>
        <v>0</v>
      </c>
      <c r="R249" s="6">
        <f t="shared" si="42"/>
        <v>45486.2</v>
      </c>
      <c r="S249">
        <f t="shared" si="43"/>
        <v>1</v>
      </c>
      <c r="T249">
        <f t="shared" si="44"/>
        <v>0</v>
      </c>
      <c r="U249">
        <f t="shared" si="45"/>
        <v>45486.2</v>
      </c>
      <c r="V249" t="str">
        <f t="shared" si="46"/>
        <v>Profitable</v>
      </c>
      <c r="W249" t="str" cm="1">
        <f t="array" ref="W249">_xlfn.IFS(S249&lt;0,"Loss", S249&lt;0.15,"Low Margin",S249&lt;0.3,"Medium High", TRUE, "High Margin")</f>
        <v>High Margin</v>
      </c>
      <c r="X249" t="str">
        <f t="shared" si="47"/>
        <v>08-2024</v>
      </c>
    </row>
    <row r="250" spans="1:24" x14ac:dyDescent="0.3">
      <c r="A250">
        <v>10400</v>
      </c>
      <c r="B250" s="1">
        <v>45518</v>
      </c>
      <c r="C250" t="s">
        <v>22</v>
      </c>
      <c r="D250" t="s">
        <v>31</v>
      </c>
      <c r="E250" t="s">
        <v>38</v>
      </c>
      <c r="F250" t="s">
        <v>19</v>
      </c>
      <c r="G250" t="s">
        <v>40</v>
      </c>
      <c r="I250">
        <v>74305.649999999994</v>
      </c>
      <c r="K250">
        <v>117892.96</v>
      </c>
      <c r="L250" t="str">
        <f t="shared" si="36"/>
        <v>Amit</v>
      </c>
      <c r="M250" t="str">
        <f t="shared" si="37"/>
        <v>South</v>
      </c>
      <c r="N250" t="str">
        <f t="shared" si="38"/>
        <v>Delhi</v>
      </c>
      <c r="O250" t="str">
        <f t="shared" si="39"/>
        <v>Startup</v>
      </c>
      <c r="P250" s="4" t="str">
        <f t="shared" si="40"/>
        <v>Unknown</v>
      </c>
      <c r="Q250">
        <f t="shared" si="41"/>
        <v>0</v>
      </c>
      <c r="R250" s="6">
        <f t="shared" si="42"/>
        <v>74305.649999999994</v>
      </c>
      <c r="S250">
        <f t="shared" si="43"/>
        <v>1</v>
      </c>
      <c r="T250">
        <f t="shared" si="44"/>
        <v>0.63028063762246689</v>
      </c>
      <c r="U250">
        <f t="shared" si="45"/>
        <v>-43587.310000000012</v>
      </c>
      <c r="V250" t="str">
        <f t="shared" si="46"/>
        <v>Profitable</v>
      </c>
      <c r="W250" t="str" cm="1">
        <f t="array" ref="W250">_xlfn.IFS(S250&lt;0,"Loss", S250&lt;0.15,"Low Margin",S250&lt;0.3,"Medium High", TRUE, "High Margin")</f>
        <v>High Margin</v>
      </c>
      <c r="X250" t="str">
        <f t="shared" si="47"/>
        <v>08-2024</v>
      </c>
    </row>
    <row r="251" spans="1:24" x14ac:dyDescent="0.3">
      <c r="A251">
        <v>10032</v>
      </c>
      <c r="B251" s="1">
        <v>45306</v>
      </c>
      <c r="C251" t="s">
        <v>22</v>
      </c>
      <c r="D251" t="s">
        <v>31</v>
      </c>
      <c r="F251" t="s">
        <v>19</v>
      </c>
      <c r="G251" t="s">
        <v>20</v>
      </c>
      <c r="H251" t="s">
        <v>21</v>
      </c>
      <c r="I251">
        <v>72437.210000000006</v>
      </c>
      <c r="J251">
        <v>5623.83</v>
      </c>
      <c r="K251">
        <v>79753.27</v>
      </c>
      <c r="L251" t="str">
        <f t="shared" si="36"/>
        <v>Amit</v>
      </c>
      <c r="M251" t="str">
        <f t="shared" si="37"/>
        <v>South</v>
      </c>
      <c r="N251" t="str">
        <f t="shared" si="38"/>
        <v>Unknown</v>
      </c>
      <c r="O251" t="str">
        <f t="shared" si="39"/>
        <v>Startup</v>
      </c>
      <c r="P251" s="4" t="str">
        <f t="shared" si="40"/>
        <v>Online</v>
      </c>
      <c r="Q251">
        <f t="shared" si="41"/>
        <v>5623.83</v>
      </c>
      <c r="R251" s="6">
        <f t="shared" si="42"/>
        <v>66813.38</v>
      </c>
      <c r="S251">
        <f t="shared" si="43"/>
        <v>0.92236269177125951</v>
      </c>
      <c r="T251">
        <f t="shared" si="44"/>
        <v>0.9082663319008738</v>
      </c>
      <c r="U251">
        <f t="shared" si="45"/>
        <v>-7316.0599999999977</v>
      </c>
      <c r="V251" t="str">
        <f t="shared" si="46"/>
        <v>Profitable</v>
      </c>
      <c r="W251" t="str" cm="1">
        <f t="array" ref="W251">_xlfn.IFS(S251&lt;0,"Loss", S251&lt;0.15,"Low Margin",S251&lt;0.3,"Medium High", TRUE, "High Margin")</f>
        <v>High Margin</v>
      </c>
      <c r="X251" t="str">
        <f t="shared" si="47"/>
        <v>01-2024</v>
      </c>
    </row>
    <row r="252" spans="1:24" x14ac:dyDescent="0.3">
      <c r="A252">
        <v>10459</v>
      </c>
      <c r="B252" s="1">
        <v>45483</v>
      </c>
      <c r="C252" t="s">
        <v>22</v>
      </c>
      <c r="D252" t="s">
        <v>23</v>
      </c>
      <c r="E252" t="s">
        <v>35</v>
      </c>
      <c r="F252" t="s">
        <v>19</v>
      </c>
      <c r="G252" t="s">
        <v>20</v>
      </c>
      <c r="H252" t="s">
        <v>21</v>
      </c>
      <c r="I252">
        <v>195876.89</v>
      </c>
      <c r="J252">
        <v>45169.94</v>
      </c>
      <c r="K252">
        <v>60853.82</v>
      </c>
      <c r="L252" t="str">
        <f t="shared" si="36"/>
        <v>Amit</v>
      </c>
      <c r="M252" t="str">
        <f t="shared" si="37"/>
        <v>West</v>
      </c>
      <c r="N252" t="str">
        <f t="shared" si="38"/>
        <v>Hyderabad</v>
      </c>
      <c r="O252" t="str">
        <f t="shared" si="39"/>
        <v>Startup</v>
      </c>
      <c r="P252" s="4" t="str">
        <f t="shared" si="40"/>
        <v>Online</v>
      </c>
      <c r="Q252">
        <f t="shared" si="41"/>
        <v>45169.94</v>
      </c>
      <c r="R252" s="6">
        <f t="shared" si="42"/>
        <v>150706.95000000001</v>
      </c>
      <c r="S252">
        <f t="shared" si="43"/>
        <v>0.76939627742711247</v>
      </c>
      <c r="T252">
        <f t="shared" si="44"/>
        <v>3.2188100927764274</v>
      </c>
      <c r="U252">
        <f t="shared" si="45"/>
        <v>135023.07</v>
      </c>
      <c r="V252" t="str">
        <f t="shared" si="46"/>
        <v>Profitable</v>
      </c>
      <c r="W252" t="str" cm="1">
        <f t="array" ref="W252">_xlfn.IFS(S252&lt;0,"Loss", S252&lt;0.15,"Low Margin",S252&lt;0.3,"Medium High", TRUE, "High Margin")</f>
        <v>High Margin</v>
      </c>
      <c r="X252" t="str">
        <f t="shared" si="47"/>
        <v>07-2024</v>
      </c>
    </row>
    <row r="253" spans="1:24" x14ac:dyDescent="0.3">
      <c r="A253">
        <v>10469</v>
      </c>
      <c r="B253" s="1">
        <v>45410</v>
      </c>
      <c r="C253" t="s">
        <v>11</v>
      </c>
      <c r="D253" t="s">
        <v>31</v>
      </c>
      <c r="G253" t="s">
        <v>43</v>
      </c>
      <c r="H253" t="s">
        <v>33</v>
      </c>
      <c r="I253">
        <v>172455.15</v>
      </c>
      <c r="J253">
        <v>94697.38</v>
      </c>
      <c r="K253">
        <v>36939.89</v>
      </c>
      <c r="L253" t="str">
        <f t="shared" si="36"/>
        <v>Rahul</v>
      </c>
      <c r="M253" t="str">
        <f t="shared" si="37"/>
        <v>South</v>
      </c>
      <c r="N253" t="str">
        <f t="shared" si="38"/>
        <v>Unknown</v>
      </c>
      <c r="O253" t="str">
        <f t="shared" si="39"/>
        <v>Unknown</v>
      </c>
      <c r="P253" s="4" t="str">
        <f t="shared" si="40"/>
        <v>Partner</v>
      </c>
      <c r="Q253">
        <f t="shared" si="41"/>
        <v>94697.38</v>
      </c>
      <c r="R253" s="6">
        <f t="shared" si="42"/>
        <v>77757.76999999999</v>
      </c>
      <c r="S253">
        <f t="shared" si="43"/>
        <v>0.45088691175647694</v>
      </c>
      <c r="T253">
        <f t="shared" si="44"/>
        <v>4.6685344758741838</v>
      </c>
      <c r="U253">
        <f t="shared" si="45"/>
        <v>135515.26</v>
      </c>
      <c r="V253" t="str">
        <f t="shared" si="46"/>
        <v>Profitable</v>
      </c>
      <c r="W253" t="str" cm="1">
        <f t="array" ref="W253">_xlfn.IFS(S253&lt;0,"Loss", S253&lt;0.15,"Low Margin",S253&lt;0.3,"Medium High", TRUE, "High Margin")</f>
        <v>High Margin</v>
      </c>
      <c r="X253" t="str">
        <f t="shared" si="47"/>
        <v>04-2024</v>
      </c>
    </row>
    <row r="254" spans="1:24" x14ac:dyDescent="0.3">
      <c r="A254">
        <v>10374</v>
      </c>
      <c r="B254" s="1">
        <v>45319</v>
      </c>
      <c r="C254" t="s">
        <v>36</v>
      </c>
      <c r="D254" t="s">
        <v>37</v>
      </c>
      <c r="E254" t="s">
        <v>44</v>
      </c>
      <c r="F254" t="s">
        <v>32</v>
      </c>
      <c r="G254" t="s">
        <v>42</v>
      </c>
      <c r="H254" t="s">
        <v>28</v>
      </c>
      <c r="I254">
        <v>142624.60999999999</v>
      </c>
      <c r="K254">
        <v>76783.63</v>
      </c>
      <c r="L254" t="str">
        <f t="shared" si="36"/>
        <v>Amit</v>
      </c>
      <c r="M254" t="str">
        <f t="shared" si="37"/>
        <v>North</v>
      </c>
      <c r="N254" t="str">
        <f t="shared" si="38"/>
        <v>Pune</v>
      </c>
      <c r="O254" t="str">
        <f t="shared" si="39"/>
        <v>Smb</v>
      </c>
      <c r="P254" s="4" t="str">
        <f t="shared" si="40"/>
        <v>Direct</v>
      </c>
      <c r="Q254">
        <f t="shared" si="41"/>
        <v>0</v>
      </c>
      <c r="R254" s="6">
        <f t="shared" si="42"/>
        <v>142624.60999999999</v>
      </c>
      <c r="S254">
        <f t="shared" si="43"/>
        <v>1</v>
      </c>
      <c r="T254">
        <f t="shared" si="44"/>
        <v>1.8574872013735217</v>
      </c>
      <c r="U254">
        <f t="shared" si="45"/>
        <v>65840.979999999981</v>
      </c>
      <c r="V254" t="str">
        <f t="shared" si="46"/>
        <v>Profitable</v>
      </c>
      <c r="W254" t="str" cm="1">
        <f t="array" ref="W254">_xlfn.IFS(S254&lt;0,"Loss", S254&lt;0.15,"Low Margin",S254&lt;0.3,"Medium High", TRUE, "High Margin")</f>
        <v>High Margin</v>
      </c>
      <c r="X254" t="str">
        <f t="shared" si="47"/>
        <v>01-2024</v>
      </c>
    </row>
    <row r="255" spans="1:24" x14ac:dyDescent="0.3">
      <c r="A255">
        <v>10021</v>
      </c>
      <c r="B255" s="1">
        <v>45493</v>
      </c>
      <c r="C255" t="s">
        <v>25</v>
      </c>
      <c r="D255" t="s">
        <v>23</v>
      </c>
      <c r="F255" t="s">
        <v>14</v>
      </c>
      <c r="G255" t="s">
        <v>27</v>
      </c>
      <c r="H255" t="s">
        <v>33</v>
      </c>
      <c r="I255">
        <v>147594.9</v>
      </c>
      <c r="J255">
        <v>39595.019999999997</v>
      </c>
      <c r="K255">
        <v>86107.6</v>
      </c>
      <c r="L255" t="str">
        <f t="shared" si="36"/>
        <v>Priya</v>
      </c>
      <c r="M255" t="str">
        <f t="shared" si="37"/>
        <v>West</v>
      </c>
      <c r="N255" t="str">
        <f t="shared" si="38"/>
        <v>Unknown</v>
      </c>
      <c r="O255" t="str">
        <f t="shared" si="39"/>
        <v>Enterprise</v>
      </c>
      <c r="P255" s="4" t="str">
        <f t="shared" si="40"/>
        <v>Partner</v>
      </c>
      <c r="Q255">
        <f t="shared" si="41"/>
        <v>39595.019999999997</v>
      </c>
      <c r="R255" s="6">
        <f t="shared" si="42"/>
        <v>107999.88</v>
      </c>
      <c r="S255">
        <f t="shared" si="43"/>
        <v>0.73173178748046175</v>
      </c>
      <c r="T255">
        <f t="shared" si="44"/>
        <v>1.7140751803557408</v>
      </c>
      <c r="U255">
        <f t="shared" si="45"/>
        <v>61487.299999999988</v>
      </c>
      <c r="V255" t="str">
        <f t="shared" si="46"/>
        <v>Profitable</v>
      </c>
      <c r="W255" t="str" cm="1">
        <f t="array" ref="W255">_xlfn.IFS(S255&lt;0,"Loss", S255&lt;0.15,"Low Margin",S255&lt;0.3,"Medium High", TRUE, "High Margin")</f>
        <v>High Margin</v>
      </c>
      <c r="X255" t="str">
        <f t="shared" si="47"/>
        <v>07-2024</v>
      </c>
    </row>
    <row r="256" spans="1:24" x14ac:dyDescent="0.3">
      <c r="A256">
        <v>10037</v>
      </c>
      <c r="B256" s="1">
        <v>45330</v>
      </c>
      <c r="C256" t="s">
        <v>29</v>
      </c>
      <c r="D256" t="s">
        <v>23</v>
      </c>
      <c r="E256" t="s">
        <v>26</v>
      </c>
      <c r="G256" t="s">
        <v>15</v>
      </c>
      <c r="H256" t="s">
        <v>33</v>
      </c>
      <c r="I256">
        <v>115917.98</v>
      </c>
      <c r="J256">
        <v>79558.009999999995</v>
      </c>
      <c r="K256">
        <v>128131.67</v>
      </c>
      <c r="L256" t="str">
        <f t="shared" si="36"/>
        <v>Sneha</v>
      </c>
      <c r="M256" t="str">
        <f t="shared" si="37"/>
        <v>West</v>
      </c>
      <c r="N256" t="str">
        <f t="shared" si="38"/>
        <v>Mumbai</v>
      </c>
      <c r="O256" t="str">
        <f t="shared" si="39"/>
        <v>Unknown</v>
      </c>
      <c r="P256" s="4" t="str">
        <f t="shared" si="40"/>
        <v>Partner</v>
      </c>
      <c r="Q256">
        <f t="shared" si="41"/>
        <v>79558.009999999995</v>
      </c>
      <c r="R256" s="6">
        <f t="shared" si="42"/>
        <v>36359.97</v>
      </c>
      <c r="S256">
        <f t="shared" si="43"/>
        <v>0.31366980342480089</v>
      </c>
      <c r="T256">
        <f t="shared" si="44"/>
        <v>0.90467860131691091</v>
      </c>
      <c r="U256">
        <f t="shared" si="45"/>
        <v>-12213.690000000002</v>
      </c>
      <c r="V256" t="str">
        <f t="shared" si="46"/>
        <v>Profitable</v>
      </c>
      <c r="W256" t="str" cm="1">
        <f t="array" ref="W256">_xlfn.IFS(S256&lt;0,"Loss", S256&lt;0.15,"Low Margin",S256&lt;0.3,"Medium High", TRUE, "High Margin")</f>
        <v>High Margin</v>
      </c>
      <c r="X256" t="str">
        <f t="shared" si="47"/>
        <v>02-2024</v>
      </c>
    </row>
    <row r="257" spans="1:24" x14ac:dyDescent="0.3">
      <c r="A257">
        <v>10229</v>
      </c>
      <c r="B257" s="1">
        <v>45522</v>
      </c>
      <c r="D257" t="s">
        <v>17</v>
      </c>
      <c r="E257" t="s">
        <v>38</v>
      </c>
      <c r="F257" t="s">
        <v>14</v>
      </c>
      <c r="G257" t="s">
        <v>15</v>
      </c>
      <c r="H257" t="s">
        <v>16</v>
      </c>
      <c r="I257">
        <v>189841.41</v>
      </c>
      <c r="J257">
        <v>30146.13</v>
      </c>
      <c r="K257">
        <v>125305.57</v>
      </c>
      <c r="L257" t="str">
        <f t="shared" si="36"/>
        <v>Unassigned</v>
      </c>
      <c r="M257" t="str">
        <f t="shared" si="37"/>
        <v>West</v>
      </c>
      <c r="N257" t="str">
        <f t="shared" si="38"/>
        <v>Delhi</v>
      </c>
      <c r="O257" t="str">
        <f t="shared" si="39"/>
        <v>Enterprise</v>
      </c>
      <c r="P257" s="4" t="str">
        <f t="shared" si="40"/>
        <v>direct</v>
      </c>
      <c r="Q257">
        <f t="shared" si="41"/>
        <v>30146.13</v>
      </c>
      <c r="R257" s="6">
        <f t="shared" si="42"/>
        <v>159695.28</v>
      </c>
      <c r="S257">
        <f t="shared" si="43"/>
        <v>0.84120361305786762</v>
      </c>
      <c r="T257">
        <f t="shared" si="44"/>
        <v>1.5150277038762123</v>
      </c>
      <c r="U257">
        <f t="shared" si="45"/>
        <v>64535.839999999997</v>
      </c>
      <c r="V257" t="str">
        <f t="shared" si="46"/>
        <v>Profitable</v>
      </c>
      <c r="W257" t="str" cm="1">
        <f t="array" ref="W257">_xlfn.IFS(S257&lt;0,"Loss", S257&lt;0.15,"Low Margin",S257&lt;0.3,"Medium High", TRUE, "High Margin")</f>
        <v>High Margin</v>
      </c>
      <c r="X257" t="str">
        <f t="shared" si="47"/>
        <v>08-2024</v>
      </c>
    </row>
    <row r="258" spans="1:24" x14ac:dyDescent="0.3">
      <c r="A258">
        <v>10364</v>
      </c>
      <c r="B258" s="1">
        <v>45377</v>
      </c>
      <c r="C258" t="s">
        <v>41</v>
      </c>
      <c r="D258" t="s">
        <v>31</v>
      </c>
      <c r="E258" t="s">
        <v>44</v>
      </c>
      <c r="F258" t="s">
        <v>14</v>
      </c>
      <c r="G258" t="s">
        <v>42</v>
      </c>
      <c r="H258" t="s">
        <v>16</v>
      </c>
      <c r="I258">
        <v>103281.68</v>
      </c>
      <c r="L258" t="str">
        <f t="shared" si="36"/>
        <v>Neha</v>
      </c>
      <c r="M258" t="str">
        <f t="shared" si="37"/>
        <v>South</v>
      </c>
      <c r="N258" t="str">
        <f t="shared" si="38"/>
        <v>Pune</v>
      </c>
      <c r="O258" t="str">
        <f t="shared" si="39"/>
        <v>Enterprise</v>
      </c>
      <c r="P258" s="4" t="str">
        <f t="shared" si="40"/>
        <v>direct</v>
      </c>
      <c r="Q258">
        <f t="shared" si="41"/>
        <v>0</v>
      </c>
      <c r="R258" s="6">
        <f t="shared" si="42"/>
        <v>103281.68</v>
      </c>
      <c r="S258">
        <f t="shared" si="43"/>
        <v>1</v>
      </c>
      <c r="T258">
        <f t="shared" si="44"/>
        <v>0</v>
      </c>
      <c r="U258">
        <f t="shared" si="45"/>
        <v>103281.68</v>
      </c>
      <c r="V258" t="str">
        <f t="shared" si="46"/>
        <v>Profitable</v>
      </c>
      <c r="W258" t="str" cm="1">
        <f t="array" ref="W258">_xlfn.IFS(S258&lt;0,"Loss", S258&lt;0.15,"Low Margin",S258&lt;0.3,"Medium High", TRUE, "High Margin")</f>
        <v>High Margin</v>
      </c>
      <c r="X258" t="str">
        <f t="shared" si="47"/>
        <v>03-2024</v>
      </c>
    </row>
    <row r="259" spans="1:24" x14ac:dyDescent="0.3">
      <c r="A259">
        <v>10562</v>
      </c>
      <c r="B259" s="1">
        <v>45417</v>
      </c>
      <c r="C259" t="s">
        <v>36</v>
      </c>
      <c r="E259" t="s">
        <v>24</v>
      </c>
      <c r="F259" t="s">
        <v>32</v>
      </c>
      <c r="G259" t="s">
        <v>27</v>
      </c>
      <c r="H259" t="s">
        <v>33</v>
      </c>
      <c r="I259">
        <v>81059.399999999994</v>
      </c>
      <c r="J259">
        <v>92429.35</v>
      </c>
      <c r="K259">
        <v>83241.490000000005</v>
      </c>
      <c r="L259" t="str">
        <f t="shared" ref="L259:L322" si="48">IF(TRIM(C259)="","Unassigned", PROPER(TRIM(C259)))</f>
        <v>Amit</v>
      </c>
      <c r="M259" t="str">
        <f t="shared" ref="M259:M322" si="49">IF(TRIM(D259)="","Unknown",PROPER(TRIM(D259)))</f>
        <v>Unknown</v>
      </c>
      <c r="N259" t="str">
        <f t="shared" ref="N259:N322" si="50">IF(TRIM(E259)="","Unknown", PROPER(TRIM(E259)))</f>
        <v>Chennai</v>
      </c>
      <c r="O259" t="str">
        <f t="shared" ref="O259:O322" si="51">IF(TRIM(F259)="","Unknown",PROPER(TRIM(F259)))</f>
        <v>Smb</v>
      </c>
      <c r="P259" s="4" t="str">
        <f t="shared" ref="P259:P322" si="52">IF(TRIM(H259)="","Unknown",TRIM(H259))</f>
        <v>Partner</v>
      </c>
      <c r="Q259">
        <f t="shared" ref="Q259:Q322" si="53">IFERROR(J259,0)</f>
        <v>92429.35</v>
      </c>
      <c r="R259" s="6">
        <f t="shared" ref="R259:R322" si="54">I259-Q259</f>
        <v>-11369.950000000012</v>
      </c>
      <c r="S259">
        <f t="shared" ref="S259:S322" si="55">IFERROR(R259/I259,0)</f>
        <v>-0.14026689069990664</v>
      </c>
      <c r="T259">
        <f t="shared" ref="T259:T322" si="56">IFERROR(I259/K259,0)</f>
        <v>0.97378602905834566</v>
      </c>
      <c r="U259">
        <f t="shared" ref="U259:U322" si="57">I259-K259</f>
        <v>-2182.0900000000111</v>
      </c>
      <c r="V259" t="str">
        <f t="shared" ref="V259:V322" si="58">IF(R259&lt;0,"Unprofitable","Profitable")</f>
        <v>Unprofitable</v>
      </c>
      <c r="W259" t="str" cm="1">
        <f t="array" ref="W259">_xlfn.IFS(S259&lt;0,"Loss", S259&lt;0.15,"Low Margin",S259&lt;0.3,"Medium High", TRUE, "High Margin")</f>
        <v>Loss</v>
      </c>
      <c r="X259" t="str">
        <f t="shared" ref="X259:X322" si="59">TEXT(B259,"MM-YYYY")</f>
        <v>05-2024</v>
      </c>
    </row>
    <row r="260" spans="1:24" x14ac:dyDescent="0.3">
      <c r="A260">
        <v>10437</v>
      </c>
      <c r="B260" s="1">
        <v>45316</v>
      </c>
      <c r="C260" t="s">
        <v>41</v>
      </c>
      <c r="D260" t="s">
        <v>23</v>
      </c>
      <c r="E260" t="s">
        <v>35</v>
      </c>
      <c r="F260" t="s">
        <v>19</v>
      </c>
      <c r="G260" t="s">
        <v>15</v>
      </c>
      <c r="H260" t="s">
        <v>33</v>
      </c>
      <c r="I260">
        <v>39302.78</v>
      </c>
      <c r="J260">
        <v>75977.94</v>
      </c>
      <c r="K260">
        <v>49084.62</v>
      </c>
      <c r="L260" t="str">
        <f t="shared" si="48"/>
        <v>Neha</v>
      </c>
      <c r="M260" t="str">
        <f t="shared" si="49"/>
        <v>West</v>
      </c>
      <c r="N260" t="str">
        <f t="shared" si="50"/>
        <v>Hyderabad</v>
      </c>
      <c r="O260" t="str">
        <f t="shared" si="51"/>
        <v>Startup</v>
      </c>
      <c r="P260" s="4" t="str">
        <f t="shared" si="52"/>
        <v>Partner</v>
      </c>
      <c r="Q260">
        <f t="shared" si="53"/>
        <v>75977.94</v>
      </c>
      <c r="R260" s="6">
        <f t="shared" si="54"/>
        <v>-36675.160000000003</v>
      </c>
      <c r="S260">
        <f t="shared" si="55"/>
        <v>-0.93314416944552026</v>
      </c>
      <c r="T260">
        <f t="shared" si="56"/>
        <v>0.80071476564349475</v>
      </c>
      <c r="U260">
        <f t="shared" si="57"/>
        <v>-9781.8400000000038</v>
      </c>
      <c r="V260" t="str">
        <f t="shared" si="58"/>
        <v>Unprofitable</v>
      </c>
      <c r="W260" t="str" cm="1">
        <f t="array" ref="W260">_xlfn.IFS(S260&lt;0,"Loss", S260&lt;0.15,"Low Margin",S260&lt;0.3,"Medium High", TRUE, "High Margin")</f>
        <v>Loss</v>
      </c>
      <c r="X260" t="str">
        <f t="shared" si="59"/>
        <v>01-2024</v>
      </c>
    </row>
    <row r="261" spans="1:24" x14ac:dyDescent="0.3">
      <c r="A261">
        <v>10282</v>
      </c>
      <c r="B261" s="1">
        <v>45436</v>
      </c>
      <c r="C261" t="s">
        <v>22</v>
      </c>
      <c r="E261" t="s">
        <v>26</v>
      </c>
      <c r="F261" t="s">
        <v>32</v>
      </c>
      <c r="G261" t="s">
        <v>42</v>
      </c>
      <c r="H261" t="s">
        <v>33</v>
      </c>
      <c r="I261">
        <v>158951.49</v>
      </c>
      <c r="J261">
        <v>92189.41</v>
      </c>
      <c r="K261">
        <v>45090.03</v>
      </c>
      <c r="L261" t="str">
        <f t="shared" si="48"/>
        <v>Amit</v>
      </c>
      <c r="M261" t="str">
        <f t="shared" si="49"/>
        <v>Unknown</v>
      </c>
      <c r="N261" t="str">
        <f t="shared" si="50"/>
        <v>Mumbai</v>
      </c>
      <c r="O261" t="str">
        <f t="shared" si="51"/>
        <v>Smb</v>
      </c>
      <c r="P261" s="4" t="str">
        <f t="shared" si="52"/>
        <v>Partner</v>
      </c>
      <c r="Q261">
        <f t="shared" si="53"/>
        <v>92189.41</v>
      </c>
      <c r="R261" s="6">
        <f t="shared" si="54"/>
        <v>66762.079999999987</v>
      </c>
      <c r="S261">
        <f t="shared" si="55"/>
        <v>0.42001543993076124</v>
      </c>
      <c r="T261">
        <f t="shared" si="56"/>
        <v>3.5252025780421969</v>
      </c>
      <c r="U261">
        <f t="shared" si="57"/>
        <v>113861.45999999999</v>
      </c>
      <c r="V261" t="str">
        <f t="shared" si="58"/>
        <v>Profitable</v>
      </c>
      <c r="W261" t="str" cm="1">
        <f t="array" ref="W261">_xlfn.IFS(S261&lt;0,"Loss", S261&lt;0.15,"Low Margin",S261&lt;0.3,"Medium High", TRUE, "High Margin")</f>
        <v>High Margin</v>
      </c>
      <c r="X261" t="str">
        <f t="shared" si="59"/>
        <v>05-2024</v>
      </c>
    </row>
    <row r="262" spans="1:24" x14ac:dyDescent="0.3">
      <c r="A262">
        <v>10026</v>
      </c>
      <c r="B262" s="1">
        <v>45304</v>
      </c>
      <c r="C262" t="s">
        <v>45</v>
      </c>
      <c r="D262" t="s">
        <v>37</v>
      </c>
      <c r="E262" t="s">
        <v>38</v>
      </c>
      <c r="G262" t="s">
        <v>15</v>
      </c>
      <c r="I262">
        <v>149013.23000000001</v>
      </c>
      <c r="J262">
        <v>7555.75</v>
      </c>
      <c r="L262" t="str">
        <f t="shared" si="48"/>
        <v>Rahul</v>
      </c>
      <c r="M262" t="str">
        <f t="shared" si="49"/>
        <v>North</v>
      </c>
      <c r="N262" t="str">
        <f t="shared" si="50"/>
        <v>Delhi</v>
      </c>
      <c r="O262" t="str">
        <f t="shared" si="51"/>
        <v>Unknown</v>
      </c>
      <c r="P262" s="4" t="str">
        <f t="shared" si="52"/>
        <v>Unknown</v>
      </c>
      <c r="Q262">
        <f t="shared" si="53"/>
        <v>7555.75</v>
      </c>
      <c r="R262" s="6">
        <f t="shared" si="54"/>
        <v>141457.48000000001</v>
      </c>
      <c r="S262">
        <f t="shared" si="55"/>
        <v>0.94929477067237589</v>
      </c>
      <c r="T262">
        <f t="shared" si="56"/>
        <v>0</v>
      </c>
      <c r="U262">
        <f t="shared" si="57"/>
        <v>149013.23000000001</v>
      </c>
      <c r="V262" t="str">
        <f t="shared" si="58"/>
        <v>Profitable</v>
      </c>
      <c r="W262" t="str" cm="1">
        <f t="array" ref="W262">_xlfn.IFS(S262&lt;0,"Loss", S262&lt;0.15,"Low Margin",S262&lt;0.3,"Medium High", TRUE, "High Margin")</f>
        <v>High Margin</v>
      </c>
      <c r="X262" t="str">
        <f t="shared" si="59"/>
        <v>01-2024</v>
      </c>
    </row>
    <row r="263" spans="1:24" x14ac:dyDescent="0.3">
      <c r="A263">
        <v>10225</v>
      </c>
      <c r="B263" s="1">
        <v>45503</v>
      </c>
      <c r="C263" t="s">
        <v>41</v>
      </c>
      <c r="D263" t="s">
        <v>17</v>
      </c>
      <c r="E263" t="s">
        <v>44</v>
      </c>
      <c r="G263" t="s">
        <v>20</v>
      </c>
      <c r="H263" t="s">
        <v>16</v>
      </c>
      <c r="I263">
        <v>81796.17</v>
      </c>
      <c r="J263">
        <v>100943</v>
      </c>
      <c r="L263" t="str">
        <f t="shared" si="48"/>
        <v>Neha</v>
      </c>
      <c r="M263" t="str">
        <f t="shared" si="49"/>
        <v>West</v>
      </c>
      <c r="N263" t="str">
        <f t="shared" si="50"/>
        <v>Pune</v>
      </c>
      <c r="O263" t="str">
        <f t="shared" si="51"/>
        <v>Unknown</v>
      </c>
      <c r="P263" s="4" t="str">
        <f t="shared" si="52"/>
        <v>direct</v>
      </c>
      <c r="Q263">
        <f t="shared" si="53"/>
        <v>100943</v>
      </c>
      <c r="R263" s="6">
        <f t="shared" si="54"/>
        <v>-19146.830000000002</v>
      </c>
      <c r="S263">
        <f t="shared" si="55"/>
        <v>-0.23407978637630592</v>
      </c>
      <c r="T263">
        <f t="shared" si="56"/>
        <v>0</v>
      </c>
      <c r="U263">
        <f t="shared" si="57"/>
        <v>81796.17</v>
      </c>
      <c r="V263" t="str">
        <f t="shared" si="58"/>
        <v>Unprofitable</v>
      </c>
      <c r="W263" t="str" cm="1">
        <f t="array" ref="W263">_xlfn.IFS(S263&lt;0,"Loss", S263&lt;0.15,"Low Margin",S263&lt;0.3,"Medium High", TRUE, "High Margin")</f>
        <v>Loss</v>
      </c>
      <c r="X263" t="str">
        <f t="shared" si="59"/>
        <v>07-2024</v>
      </c>
    </row>
    <row r="264" spans="1:24" x14ac:dyDescent="0.3">
      <c r="A264">
        <v>10276</v>
      </c>
      <c r="B264" s="1">
        <v>45316</v>
      </c>
      <c r="C264" t="s">
        <v>22</v>
      </c>
      <c r="D264" t="s">
        <v>12</v>
      </c>
      <c r="E264" t="s">
        <v>44</v>
      </c>
      <c r="G264" t="s">
        <v>40</v>
      </c>
      <c r="H264" t="s">
        <v>33</v>
      </c>
      <c r="I264">
        <v>12837.14</v>
      </c>
      <c r="J264">
        <v>75484.570000000007</v>
      </c>
      <c r="K264">
        <v>87069.26</v>
      </c>
      <c r="L264" t="str">
        <f t="shared" si="48"/>
        <v>Amit</v>
      </c>
      <c r="M264" t="str">
        <f t="shared" si="49"/>
        <v>South</v>
      </c>
      <c r="N264" t="str">
        <f t="shared" si="50"/>
        <v>Pune</v>
      </c>
      <c r="O264" t="str">
        <f t="shared" si="51"/>
        <v>Unknown</v>
      </c>
      <c r="P264" s="4" t="str">
        <f t="shared" si="52"/>
        <v>Partner</v>
      </c>
      <c r="Q264">
        <f t="shared" si="53"/>
        <v>75484.570000000007</v>
      </c>
      <c r="R264" s="6">
        <f t="shared" si="54"/>
        <v>-62647.430000000008</v>
      </c>
      <c r="S264">
        <f t="shared" si="55"/>
        <v>-4.8801703494703661</v>
      </c>
      <c r="T264">
        <f t="shared" si="56"/>
        <v>0.14743596075124563</v>
      </c>
      <c r="U264">
        <f t="shared" si="57"/>
        <v>-74232.12</v>
      </c>
      <c r="V264" t="str">
        <f t="shared" si="58"/>
        <v>Unprofitable</v>
      </c>
      <c r="W264" t="str" cm="1">
        <f t="array" ref="W264">_xlfn.IFS(S264&lt;0,"Loss", S264&lt;0.15,"Low Margin",S264&lt;0.3,"Medium High", TRUE, "High Margin")</f>
        <v>Loss</v>
      </c>
      <c r="X264" t="str">
        <f t="shared" si="59"/>
        <v>01-2024</v>
      </c>
    </row>
    <row r="265" spans="1:24" x14ac:dyDescent="0.3">
      <c r="A265">
        <v>10283</v>
      </c>
      <c r="B265" s="1">
        <v>45359</v>
      </c>
      <c r="C265" t="s">
        <v>41</v>
      </c>
      <c r="E265" t="s">
        <v>26</v>
      </c>
      <c r="F265" t="s">
        <v>32</v>
      </c>
      <c r="G265" t="s">
        <v>40</v>
      </c>
      <c r="H265" t="s">
        <v>21</v>
      </c>
      <c r="I265">
        <v>169087.49</v>
      </c>
      <c r="J265">
        <v>68917.259999999995</v>
      </c>
      <c r="L265" t="str">
        <f t="shared" si="48"/>
        <v>Neha</v>
      </c>
      <c r="M265" t="str">
        <f t="shared" si="49"/>
        <v>Unknown</v>
      </c>
      <c r="N265" t="str">
        <f t="shared" si="50"/>
        <v>Mumbai</v>
      </c>
      <c r="O265" t="str">
        <f t="shared" si="51"/>
        <v>Smb</v>
      </c>
      <c r="P265" s="4" t="str">
        <f t="shared" si="52"/>
        <v>Online</v>
      </c>
      <c r="Q265">
        <f t="shared" si="53"/>
        <v>68917.259999999995</v>
      </c>
      <c r="R265" s="6">
        <f t="shared" si="54"/>
        <v>100170.23</v>
      </c>
      <c r="S265">
        <f t="shared" si="55"/>
        <v>0.59241656493925132</v>
      </c>
      <c r="T265">
        <f t="shared" si="56"/>
        <v>0</v>
      </c>
      <c r="U265">
        <f t="shared" si="57"/>
        <v>169087.49</v>
      </c>
      <c r="V265" t="str">
        <f t="shared" si="58"/>
        <v>Profitable</v>
      </c>
      <c r="W265" t="str" cm="1">
        <f t="array" ref="W265">_xlfn.IFS(S265&lt;0,"Loss", S265&lt;0.15,"Low Margin",S265&lt;0.3,"Medium High", TRUE, "High Margin")</f>
        <v>High Margin</v>
      </c>
      <c r="X265" t="str">
        <f t="shared" si="59"/>
        <v>03-2024</v>
      </c>
    </row>
    <row r="266" spans="1:24" x14ac:dyDescent="0.3">
      <c r="A266">
        <v>10480</v>
      </c>
      <c r="B266" s="1">
        <v>45358</v>
      </c>
      <c r="C266" t="s">
        <v>45</v>
      </c>
      <c r="D266" t="s">
        <v>23</v>
      </c>
      <c r="E266" t="s">
        <v>13</v>
      </c>
      <c r="F266" t="s">
        <v>14</v>
      </c>
      <c r="G266" t="s">
        <v>15</v>
      </c>
      <c r="H266" t="s">
        <v>21</v>
      </c>
      <c r="I266">
        <v>10192.25</v>
      </c>
      <c r="J266">
        <v>76079.839999999997</v>
      </c>
      <c r="K266">
        <v>160692.82999999999</v>
      </c>
      <c r="L266" t="str">
        <f t="shared" si="48"/>
        <v>Rahul</v>
      </c>
      <c r="M266" t="str">
        <f t="shared" si="49"/>
        <v>West</v>
      </c>
      <c r="N266" t="str">
        <f t="shared" si="50"/>
        <v>Bengaluru</v>
      </c>
      <c r="O266" t="str">
        <f t="shared" si="51"/>
        <v>Enterprise</v>
      </c>
      <c r="P266" s="4" t="str">
        <f t="shared" si="52"/>
        <v>Online</v>
      </c>
      <c r="Q266">
        <f t="shared" si="53"/>
        <v>76079.839999999997</v>
      </c>
      <c r="R266" s="6">
        <f t="shared" si="54"/>
        <v>-65887.59</v>
      </c>
      <c r="S266">
        <f t="shared" si="55"/>
        <v>-6.4644793838455685</v>
      </c>
      <c r="T266">
        <f t="shared" si="56"/>
        <v>6.3426912078155581E-2</v>
      </c>
      <c r="U266">
        <f t="shared" si="57"/>
        <v>-150500.57999999999</v>
      </c>
      <c r="V266" t="str">
        <f t="shared" si="58"/>
        <v>Unprofitable</v>
      </c>
      <c r="W266" t="str" cm="1">
        <f t="array" ref="W266">_xlfn.IFS(S266&lt;0,"Loss", S266&lt;0.15,"Low Margin",S266&lt;0.3,"Medium High", TRUE, "High Margin")</f>
        <v>Loss</v>
      </c>
      <c r="X266" t="str">
        <f t="shared" si="59"/>
        <v>03-2024</v>
      </c>
    </row>
    <row r="267" spans="1:24" x14ac:dyDescent="0.3">
      <c r="A267">
        <v>10452</v>
      </c>
      <c r="B267" s="1">
        <v>45524</v>
      </c>
      <c r="C267" t="s">
        <v>22</v>
      </c>
      <c r="D267" t="s">
        <v>37</v>
      </c>
      <c r="E267" t="s">
        <v>24</v>
      </c>
      <c r="F267" t="s">
        <v>14</v>
      </c>
      <c r="G267" t="s">
        <v>43</v>
      </c>
      <c r="I267">
        <v>143110.35999999999</v>
      </c>
      <c r="J267">
        <v>104138.69</v>
      </c>
      <c r="K267">
        <v>109126.48</v>
      </c>
      <c r="L267" t="str">
        <f t="shared" si="48"/>
        <v>Amit</v>
      </c>
      <c r="M267" t="str">
        <f t="shared" si="49"/>
        <v>North</v>
      </c>
      <c r="N267" t="str">
        <f t="shared" si="50"/>
        <v>Chennai</v>
      </c>
      <c r="O267" t="str">
        <f t="shared" si="51"/>
        <v>Enterprise</v>
      </c>
      <c r="P267" s="4" t="str">
        <f t="shared" si="52"/>
        <v>Unknown</v>
      </c>
      <c r="Q267">
        <f t="shared" si="53"/>
        <v>104138.69</v>
      </c>
      <c r="R267" s="6">
        <f t="shared" si="54"/>
        <v>38971.669999999984</v>
      </c>
      <c r="S267">
        <f t="shared" si="55"/>
        <v>0.27231899912766616</v>
      </c>
      <c r="T267">
        <f t="shared" si="56"/>
        <v>1.311417357180402</v>
      </c>
      <c r="U267">
        <f t="shared" si="57"/>
        <v>33983.87999999999</v>
      </c>
      <c r="V267" t="str">
        <f t="shared" si="58"/>
        <v>Profitable</v>
      </c>
      <c r="W267" t="str" cm="1">
        <f t="array" ref="W267">_xlfn.IFS(S267&lt;0,"Loss", S267&lt;0.15,"Low Margin",S267&lt;0.3,"Medium High", TRUE, "High Margin")</f>
        <v>Medium High</v>
      </c>
      <c r="X267" t="str">
        <f t="shared" si="59"/>
        <v>08-2024</v>
      </c>
    </row>
    <row r="268" spans="1:24" x14ac:dyDescent="0.3">
      <c r="A268">
        <v>10515</v>
      </c>
      <c r="B268" s="1">
        <v>45400</v>
      </c>
      <c r="C268" t="s">
        <v>25</v>
      </c>
      <c r="D268" t="s">
        <v>34</v>
      </c>
      <c r="E268" t="s">
        <v>26</v>
      </c>
      <c r="F268" t="s">
        <v>39</v>
      </c>
      <c r="G268" t="s">
        <v>27</v>
      </c>
      <c r="I268">
        <v>194289.37</v>
      </c>
      <c r="J268">
        <v>71671.570000000007</v>
      </c>
      <c r="K268">
        <v>57020.9</v>
      </c>
      <c r="L268" t="str">
        <f t="shared" si="48"/>
        <v>Priya</v>
      </c>
      <c r="M268" t="str">
        <f t="shared" si="49"/>
        <v>East</v>
      </c>
      <c r="N268" t="str">
        <f t="shared" si="50"/>
        <v>Mumbai</v>
      </c>
      <c r="O268" t="str">
        <f t="shared" si="51"/>
        <v>Enterprise</v>
      </c>
      <c r="P268" s="4" t="str">
        <f t="shared" si="52"/>
        <v>Unknown</v>
      </c>
      <c r="Q268">
        <f t="shared" si="53"/>
        <v>71671.570000000007</v>
      </c>
      <c r="R268" s="6">
        <f t="shared" si="54"/>
        <v>122617.79999999999</v>
      </c>
      <c r="S268">
        <f t="shared" si="55"/>
        <v>0.63110915435054415</v>
      </c>
      <c r="T268">
        <f t="shared" si="56"/>
        <v>3.4073360820330789</v>
      </c>
      <c r="U268">
        <f t="shared" si="57"/>
        <v>137268.47</v>
      </c>
      <c r="V268" t="str">
        <f t="shared" si="58"/>
        <v>Profitable</v>
      </c>
      <c r="W268" t="str" cm="1">
        <f t="array" ref="W268">_xlfn.IFS(S268&lt;0,"Loss", S268&lt;0.15,"Low Margin",S268&lt;0.3,"Medium High", TRUE, "High Margin")</f>
        <v>High Margin</v>
      </c>
      <c r="X268" t="str">
        <f t="shared" si="59"/>
        <v>04-2024</v>
      </c>
    </row>
    <row r="269" spans="1:24" x14ac:dyDescent="0.3">
      <c r="A269">
        <v>10546</v>
      </c>
      <c r="B269" s="1">
        <v>45437</v>
      </c>
      <c r="C269" t="s">
        <v>36</v>
      </c>
      <c r="D269" t="s">
        <v>37</v>
      </c>
      <c r="E269" t="s">
        <v>44</v>
      </c>
      <c r="G269" t="s">
        <v>27</v>
      </c>
      <c r="H269" t="s">
        <v>28</v>
      </c>
      <c r="I269">
        <v>92030.98</v>
      </c>
      <c r="J269">
        <v>70971.19</v>
      </c>
      <c r="K269">
        <v>100388.37</v>
      </c>
      <c r="L269" t="str">
        <f t="shared" si="48"/>
        <v>Amit</v>
      </c>
      <c r="M269" t="str">
        <f t="shared" si="49"/>
        <v>North</v>
      </c>
      <c r="N269" t="str">
        <f t="shared" si="50"/>
        <v>Pune</v>
      </c>
      <c r="O269" t="str">
        <f t="shared" si="51"/>
        <v>Unknown</v>
      </c>
      <c r="P269" s="4" t="str">
        <f t="shared" si="52"/>
        <v>Direct</v>
      </c>
      <c r="Q269">
        <f t="shared" si="53"/>
        <v>70971.19</v>
      </c>
      <c r="R269" s="6">
        <f t="shared" si="54"/>
        <v>21059.789999999994</v>
      </c>
      <c r="S269">
        <f t="shared" si="55"/>
        <v>0.22883370360719829</v>
      </c>
      <c r="T269">
        <f t="shared" si="56"/>
        <v>0.91674942027647222</v>
      </c>
      <c r="U269">
        <f t="shared" si="57"/>
        <v>-8357.39</v>
      </c>
      <c r="V269" t="str">
        <f t="shared" si="58"/>
        <v>Profitable</v>
      </c>
      <c r="W269" t="str" cm="1">
        <f t="array" ref="W269">_xlfn.IFS(S269&lt;0,"Loss", S269&lt;0.15,"Low Margin",S269&lt;0.3,"Medium High", TRUE, "High Margin")</f>
        <v>Medium High</v>
      </c>
      <c r="X269" t="str">
        <f t="shared" si="59"/>
        <v>05-2024</v>
      </c>
    </row>
    <row r="270" spans="1:24" x14ac:dyDescent="0.3">
      <c r="A270">
        <v>10191</v>
      </c>
      <c r="B270" s="1">
        <v>45402</v>
      </c>
      <c r="C270" t="s">
        <v>30</v>
      </c>
      <c r="D270" t="s">
        <v>37</v>
      </c>
      <c r="E270" t="s">
        <v>18</v>
      </c>
      <c r="F270" t="s">
        <v>14</v>
      </c>
      <c r="G270" t="s">
        <v>27</v>
      </c>
      <c r="H270" t="s">
        <v>28</v>
      </c>
      <c r="I270">
        <v>53114.89</v>
      </c>
      <c r="J270">
        <v>118909.46</v>
      </c>
      <c r="K270">
        <v>137037.82</v>
      </c>
      <c r="L270" t="str">
        <f t="shared" si="48"/>
        <v>Ankit</v>
      </c>
      <c r="M270" t="str">
        <f t="shared" si="49"/>
        <v>North</v>
      </c>
      <c r="N270" t="str">
        <f t="shared" si="50"/>
        <v>Bengaluru</v>
      </c>
      <c r="O270" t="str">
        <f t="shared" si="51"/>
        <v>Enterprise</v>
      </c>
      <c r="P270" s="4" t="str">
        <f t="shared" si="52"/>
        <v>Direct</v>
      </c>
      <c r="Q270">
        <f t="shared" si="53"/>
        <v>118909.46</v>
      </c>
      <c r="R270" s="6">
        <f t="shared" si="54"/>
        <v>-65794.570000000007</v>
      </c>
      <c r="S270">
        <f t="shared" si="55"/>
        <v>-1.238721759566856</v>
      </c>
      <c r="T270">
        <f t="shared" si="56"/>
        <v>0.3875929287258072</v>
      </c>
      <c r="U270">
        <f t="shared" si="57"/>
        <v>-83922.930000000008</v>
      </c>
      <c r="V270" t="str">
        <f t="shared" si="58"/>
        <v>Unprofitable</v>
      </c>
      <c r="W270" t="str" cm="1">
        <f t="array" ref="W270">_xlfn.IFS(S270&lt;0,"Loss", S270&lt;0.15,"Low Margin",S270&lt;0.3,"Medium High", TRUE, "High Margin")</f>
        <v>Loss</v>
      </c>
      <c r="X270" t="str">
        <f t="shared" si="59"/>
        <v>04-2024</v>
      </c>
    </row>
    <row r="271" spans="1:24" x14ac:dyDescent="0.3">
      <c r="A271">
        <v>10048</v>
      </c>
      <c r="B271" s="1">
        <v>45519</v>
      </c>
      <c r="D271" t="s">
        <v>17</v>
      </c>
      <c r="E271" t="s">
        <v>38</v>
      </c>
      <c r="F271" t="s">
        <v>39</v>
      </c>
      <c r="G271" t="s">
        <v>20</v>
      </c>
      <c r="H271" t="s">
        <v>28</v>
      </c>
      <c r="I271">
        <v>143335.23000000001</v>
      </c>
      <c r="J271">
        <v>91537.43</v>
      </c>
      <c r="K271">
        <v>173298.88</v>
      </c>
      <c r="L271" t="str">
        <f t="shared" si="48"/>
        <v>Unassigned</v>
      </c>
      <c r="M271" t="str">
        <f t="shared" si="49"/>
        <v>West</v>
      </c>
      <c r="N271" t="str">
        <f t="shared" si="50"/>
        <v>Delhi</v>
      </c>
      <c r="O271" t="str">
        <f t="shared" si="51"/>
        <v>Enterprise</v>
      </c>
      <c r="P271" s="4" t="str">
        <f t="shared" si="52"/>
        <v>Direct</v>
      </c>
      <c r="Q271">
        <f t="shared" si="53"/>
        <v>91537.43</v>
      </c>
      <c r="R271" s="6">
        <f t="shared" si="54"/>
        <v>51797.800000000017</v>
      </c>
      <c r="S271">
        <f t="shared" si="55"/>
        <v>0.36137521808141665</v>
      </c>
      <c r="T271">
        <f t="shared" si="56"/>
        <v>0.8270984209476715</v>
      </c>
      <c r="U271">
        <f t="shared" si="57"/>
        <v>-29963.649999999994</v>
      </c>
      <c r="V271" t="str">
        <f t="shared" si="58"/>
        <v>Profitable</v>
      </c>
      <c r="W271" t="str" cm="1">
        <f t="array" ref="W271">_xlfn.IFS(S271&lt;0,"Loss", S271&lt;0.15,"Low Margin",S271&lt;0.3,"Medium High", TRUE, "High Margin")</f>
        <v>High Margin</v>
      </c>
      <c r="X271" t="str">
        <f t="shared" si="59"/>
        <v>08-2024</v>
      </c>
    </row>
    <row r="272" spans="1:24" x14ac:dyDescent="0.3">
      <c r="A272">
        <v>10511</v>
      </c>
      <c r="B272" s="1">
        <v>45402</v>
      </c>
      <c r="C272" t="s">
        <v>11</v>
      </c>
      <c r="D272" t="s">
        <v>12</v>
      </c>
      <c r="E272" t="s">
        <v>26</v>
      </c>
      <c r="F272" t="s">
        <v>14</v>
      </c>
      <c r="G272" t="s">
        <v>27</v>
      </c>
      <c r="I272">
        <v>164888.6</v>
      </c>
      <c r="J272">
        <v>54748.38</v>
      </c>
      <c r="K272">
        <v>55271.360000000001</v>
      </c>
      <c r="L272" t="str">
        <f t="shared" si="48"/>
        <v>Rahul</v>
      </c>
      <c r="M272" t="str">
        <f t="shared" si="49"/>
        <v>South</v>
      </c>
      <c r="N272" t="str">
        <f t="shared" si="50"/>
        <v>Mumbai</v>
      </c>
      <c r="O272" t="str">
        <f t="shared" si="51"/>
        <v>Enterprise</v>
      </c>
      <c r="P272" s="4" t="str">
        <f t="shared" si="52"/>
        <v>Unknown</v>
      </c>
      <c r="Q272">
        <f t="shared" si="53"/>
        <v>54748.38</v>
      </c>
      <c r="R272" s="6">
        <f t="shared" si="54"/>
        <v>110140.22</v>
      </c>
      <c r="S272">
        <f t="shared" si="55"/>
        <v>0.66796746409393981</v>
      </c>
      <c r="T272">
        <f t="shared" si="56"/>
        <v>2.9832557042200518</v>
      </c>
      <c r="U272">
        <f t="shared" si="57"/>
        <v>109617.24</v>
      </c>
      <c r="V272" t="str">
        <f t="shared" si="58"/>
        <v>Profitable</v>
      </c>
      <c r="W272" t="str" cm="1">
        <f t="array" ref="W272">_xlfn.IFS(S272&lt;0,"Loss", S272&lt;0.15,"Low Margin",S272&lt;0.3,"Medium High", TRUE, "High Margin")</f>
        <v>High Margin</v>
      </c>
      <c r="X272" t="str">
        <f t="shared" si="59"/>
        <v>04-2024</v>
      </c>
    </row>
    <row r="273" spans="1:24" x14ac:dyDescent="0.3">
      <c r="A273">
        <v>10016</v>
      </c>
      <c r="B273" s="1">
        <v>45325</v>
      </c>
      <c r="D273" t="s">
        <v>34</v>
      </c>
      <c r="E273" t="s">
        <v>13</v>
      </c>
      <c r="G273" t="s">
        <v>40</v>
      </c>
      <c r="I273">
        <v>112914.62</v>
      </c>
      <c r="J273">
        <v>85765.45</v>
      </c>
      <c r="K273">
        <v>161789.07999999999</v>
      </c>
      <c r="L273" t="str">
        <f t="shared" si="48"/>
        <v>Unassigned</v>
      </c>
      <c r="M273" t="str">
        <f t="shared" si="49"/>
        <v>East</v>
      </c>
      <c r="N273" t="str">
        <f t="shared" si="50"/>
        <v>Bengaluru</v>
      </c>
      <c r="O273" t="str">
        <f t="shared" si="51"/>
        <v>Unknown</v>
      </c>
      <c r="P273" s="4" t="str">
        <f t="shared" si="52"/>
        <v>Unknown</v>
      </c>
      <c r="Q273">
        <f t="shared" si="53"/>
        <v>85765.45</v>
      </c>
      <c r="R273" s="6">
        <f t="shared" si="54"/>
        <v>27149.17</v>
      </c>
      <c r="S273">
        <f t="shared" si="55"/>
        <v>0.24043981195703443</v>
      </c>
      <c r="T273">
        <f t="shared" si="56"/>
        <v>0.69791249199266114</v>
      </c>
      <c r="U273">
        <f t="shared" si="57"/>
        <v>-48874.459999999992</v>
      </c>
      <c r="V273" t="str">
        <f t="shared" si="58"/>
        <v>Profitable</v>
      </c>
      <c r="W273" t="str" cm="1">
        <f t="array" ref="W273">_xlfn.IFS(S273&lt;0,"Loss", S273&lt;0.15,"Low Margin",S273&lt;0.3,"Medium High", TRUE, "High Margin")</f>
        <v>Medium High</v>
      </c>
      <c r="X273" t="str">
        <f t="shared" si="59"/>
        <v>02-2024</v>
      </c>
    </row>
    <row r="274" spans="1:24" x14ac:dyDescent="0.3">
      <c r="A274">
        <v>10171</v>
      </c>
      <c r="B274" s="1">
        <v>45402</v>
      </c>
      <c r="D274" t="s">
        <v>31</v>
      </c>
      <c r="E274" t="s">
        <v>44</v>
      </c>
      <c r="F274" t="s">
        <v>19</v>
      </c>
      <c r="G274" t="s">
        <v>20</v>
      </c>
      <c r="I274">
        <v>193670.77</v>
      </c>
      <c r="J274">
        <v>48539.97</v>
      </c>
      <c r="K274">
        <v>169488.66</v>
      </c>
      <c r="L274" t="str">
        <f t="shared" si="48"/>
        <v>Unassigned</v>
      </c>
      <c r="M274" t="str">
        <f t="shared" si="49"/>
        <v>South</v>
      </c>
      <c r="N274" t="str">
        <f t="shared" si="50"/>
        <v>Pune</v>
      </c>
      <c r="O274" t="str">
        <f t="shared" si="51"/>
        <v>Startup</v>
      </c>
      <c r="P274" s="4" t="str">
        <f t="shared" si="52"/>
        <v>Unknown</v>
      </c>
      <c r="Q274">
        <f t="shared" si="53"/>
        <v>48539.97</v>
      </c>
      <c r="R274" s="6">
        <f t="shared" si="54"/>
        <v>145130.79999999999</v>
      </c>
      <c r="S274">
        <f t="shared" si="55"/>
        <v>0.74936863213793181</v>
      </c>
      <c r="T274">
        <f t="shared" si="56"/>
        <v>1.1426768610950135</v>
      </c>
      <c r="U274">
        <f t="shared" si="57"/>
        <v>24182.109999999986</v>
      </c>
      <c r="V274" t="str">
        <f t="shared" si="58"/>
        <v>Profitable</v>
      </c>
      <c r="W274" t="str" cm="1">
        <f t="array" ref="W274">_xlfn.IFS(S274&lt;0,"Loss", S274&lt;0.15,"Low Margin",S274&lt;0.3,"Medium High", TRUE, "High Margin")</f>
        <v>High Margin</v>
      </c>
      <c r="X274" t="str">
        <f t="shared" si="59"/>
        <v>04-2024</v>
      </c>
    </row>
    <row r="275" spans="1:24" x14ac:dyDescent="0.3">
      <c r="A275">
        <v>10219</v>
      </c>
      <c r="B275" s="1">
        <v>45555</v>
      </c>
      <c r="C275" t="s">
        <v>22</v>
      </c>
      <c r="D275" t="s">
        <v>31</v>
      </c>
      <c r="E275" t="s">
        <v>24</v>
      </c>
      <c r="G275" t="s">
        <v>42</v>
      </c>
      <c r="H275" t="s">
        <v>21</v>
      </c>
      <c r="I275">
        <v>17920.39</v>
      </c>
      <c r="J275">
        <v>29778.43</v>
      </c>
      <c r="L275" t="str">
        <f t="shared" si="48"/>
        <v>Amit</v>
      </c>
      <c r="M275" t="str">
        <f t="shared" si="49"/>
        <v>South</v>
      </c>
      <c r="N275" t="str">
        <f t="shared" si="50"/>
        <v>Chennai</v>
      </c>
      <c r="O275" t="str">
        <f t="shared" si="51"/>
        <v>Unknown</v>
      </c>
      <c r="P275" s="4" t="str">
        <f t="shared" si="52"/>
        <v>Online</v>
      </c>
      <c r="Q275">
        <f t="shared" si="53"/>
        <v>29778.43</v>
      </c>
      <c r="R275" s="6">
        <f t="shared" si="54"/>
        <v>-11858.04</v>
      </c>
      <c r="S275">
        <f t="shared" si="55"/>
        <v>-0.66170658116257519</v>
      </c>
      <c r="T275">
        <f t="shared" si="56"/>
        <v>0</v>
      </c>
      <c r="U275">
        <f t="shared" si="57"/>
        <v>17920.39</v>
      </c>
      <c r="V275" t="str">
        <f t="shared" si="58"/>
        <v>Unprofitable</v>
      </c>
      <c r="W275" t="str" cm="1">
        <f t="array" ref="W275">_xlfn.IFS(S275&lt;0,"Loss", S275&lt;0.15,"Low Margin",S275&lt;0.3,"Medium High", TRUE, "High Margin")</f>
        <v>Loss</v>
      </c>
      <c r="X275" t="str">
        <f t="shared" si="59"/>
        <v>09-2024</v>
      </c>
    </row>
    <row r="276" spans="1:24" x14ac:dyDescent="0.3">
      <c r="A276">
        <v>10157</v>
      </c>
      <c r="B276" s="1">
        <v>45527</v>
      </c>
      <c r="C276" t="s">
        <v>25</v>
      </c>
      <c r="F276" t="s">
        <v>32</v>
      </c>
      <c r="G276" t="s">
        <v>27</v>
      </c>
      <c r="I276">
        <v>104920.75</v>
      </c>
      <c r="K276">
        <v>121666.3</v>
      </c>
      <c r="L276" t="str">
        <f t="shared" si="48"/>
        <v>Priya</v>
      </c>
      <c r="M276" t="str">
        <f t="shared" si="49"/>
        <v>Unknown</v>
      </c>
      <c r="N276" t="str">
        <f t="shared" si="50"/>
        <v>Unknown</v>
      </c>
      <c r="O276" t="str">
        <f t="shared" si="51"/>
        <v>Smb</v>
      </c>
      <c r="P276" s="4" t="str">
        <f t="shared" si="52"/>
        <v>Unknown</v>
      </c>
      <c r="Q276">
        <f t="shared" si="53"/>
        <v>0</v>
      </c>
      <c r="R276" s="6">
        <f t="shared" si="54"/>
        <v>104920.75</v>
      </c>
      <c r="S276">
        <f t="shared" si="55"/>
        <v>1</v>
      </c>
      <c r="T276">
        <f t="shared" si="56"/>
        <v>0.86236492767512452</v>
      </c>
      <c r="U276">
        <f t="shared" si="57"/>
        <v>-16745.550000000003</v>
      </c>
      <c r="V276" t="str">
        <f t="shared" si="58"/>
        <v>Profitable</v>
      </c>
      <c r="W276" t="str" cm="1">
        <f t="array" ref="W276">_xlfn.IFS(S276&lt;0,"Loss", S276&lt;0.15,"Low Margin",S276&lt;0.3,"Medium High", TRUE, "High Margin")</f>
        <v>High Margin</v>
      </c>
      <c r="X276" t="str">
        <f t="shared" si="59"/>
        <v>08-2024</v>
      </c>
    </row>
    <row r="277" spans="1:24" x14ac:dyDescent="0.3">
      <c r="A277">
        <v>10476</v>
      </c>
      <c r="B277" s="1">
        <v>45374</v>
      </c>
      <c r="C277" t="s">
        <v>30</v>
      </c>
      <c r="D277" t="s">
        <v>37</v>
      </c>
      <c r="E277" t="s">
        <v>44</v>
      </c>
      <c r="F277" t="s">
        <v>14</v>
      </c>
      <c r="G277" t="s">
        <v>27</v>
      </c>
      <c r="H277" t="s">
        <v>21</v>
      </c>
      <c r="I277">
        <v>145943.16</v>
      </c>
      <c r="J277">
        <v>111597.31</v>
      </c>
      <c r="L277" t="str">
        <f t="shared" si="48"/>
        <v>Ankit</v>
      </c>
      <c r="M277" t="str">
        <f t="shared" si="49"/>
        <v>North</v>
      </c>
      <c r="N277" t="str">
        <f t="shared" si="50"/>
        <v>Pune</v>
      </c>
      <c r="O277" t="str">
        <f t="shared" si="51"/>
        <v>Enterprise</v>
      </c>
      <c r="P277" s="4" t="str">
        <f t="shared" si="52"/>
        <v>Online</v>
      </c>
      <c r="Q277">
        <f t="shared" si="53"/>
        <v>111597.31</v>
      </c>
      <c r="R277" s="6">
        <f t="shared" si="54"/>
        <v>34345.850000000006</v>
      </c>
      <c r="S277">
        <f t="shared" si="55"/>
        <v>0.23533716825098214</v>
      </c>
      <c r="T277">
        <f t="shared" si="56"/>
        <v>0</v>
      </c>
      <c r="U277">
        <f t="shared" si="57"/>
        <v>145943.16</v>
      </c>
      <c r="V277" t="str">
        <f t="shared" si="58"/>
        <v>Profitable</v>
      </c>
      <c r="W277" t="str" cm="1">
        <f t="array" ref="W277">_xlfn.IFS(S277&lt;0,"Loss", S277&lt;0.15,"Low Margin",S277&lt;0.3,"Medium High", TRUE, "High Margin")</f>
        <v>Medium High</v>
      </c>
      <c r="X277" t="str">
        <f t="shared" si="59"/>
        <v>03-2024</v>
      </c>
    </row>
    <row r="278" spans="1:24" x14ac:dyDescent="0.3">
      <c r="A278">
        <v>10045</v>
      </c>
      <c r="B278" s="1">
        <v>45333</v>
      </c>
      <c r="C278" t="s">
        <v>36</v>
      </c>
      <c r="D278" t="s">
        <v>17</v>
      </c>
      <c r="E278" t="s">
        <v>24</v>
      </c>
      <c r="F278" t="s">
        <v>14</v>
      </c>
      <c r="G278" t="s">
        <v>42</v>
      </c>
      <c r="H278" t="s">
        <v>28</v>
      </c>
      <c r="I278">
        <v>173626.97</v>
      </c>
      <c r="J278">
        <v>111709.32</v>
      </c>
      <c r="K278">
        <v>84513.7</v>
      </c>
      <c r="L278" t="str">
        <f t="shared" si="48"/>
        <v>Amit</v>
      </c>
      <c r="M278" t="str">
        <f t="shared" si="49"/>
        <v>West</v>
      </c>
      <c r="N278" t="str">
        <f t="shared" si="50"/>
        <v>Chennai</v>
      </c>
      <c r="O278" t="str">
        <f t="shared" si="51"/>
        <v>Enterprise</v>
      </c>
      <c r="P278" s="4" t="str">
        <f t="shared" si="52"/>
        <v>Direct</v>
      </c>
      <c r="Q278">
        <f t="shared" si="53"/>
        <v>111709.32</v>
      </c>
      <c r="R278" s="6">
        <f t="shared" si="54"/>
        <v>61917.649999999994</v>
      </c>
      <c r="S278">
        <f t="shared" si="55"/>
        <v>0.35661308839289191</v>
      </c>
      <c r="T278">
        <f t="shared" si="56"/>
        <v>2.0544239572992309</v>
      </c>
      <c r="U278">
        <f t="shared" si="57"/>
        <v>89113.27</v>
      </c>
      <c r="V278" t="str">
        <f t="shared" si="58"/>
        <v>Profitable</v>
      </c>
      <c r="W278" t="str" cm="1">
        <f t="array" ref="W278">_xlfn.IFS(S278&lt;0,"Loss", S278&lt;0.15,"Low Margin",S278&lt;0.3,"Medium High", TRUE, "High Margin")</f>
        <v>High Margin</v>
      </c>
      <c r="X278" t="str">
        <f t="shared" si="59"/>
        <v>02-2024</v>
      </c>
    </row>
    <row r="279" spans="1:24" x14ac:dyDescent="0.3">
      <c r="A279">
        <v>10372</v>
      </c>
      <c r="B279" s="1">
        <v>45392</v>
      </c>
      <c r="C279" t="s">
        <v>36</v>
      </c>
      <c r="D279" t="s">
        <v>17</v>
      </c>
      <c r="E279" t="s">
        <v>26</v>
      </c>
      <c r="F279" t="s">
        <v>32</v>
      </c>
      <c r="G279" t="s">
        <v>27</v>
      </c>
      <c r="H279" t="s">
        <v>28</v>
      </c>
      <c r="I279">
        <v>42417.08</v>
      </c>
      <c r="J279">
        <v>43002.92</v>
      </c>
      <c r="K279">
        <v>140383.66</v>
      </c>
      <c r="L279" t="str">
        <f t="shared" si="48"/>
        <v>Amit</v>
      </c>
      <c r="M279" t="str">
        <f t="shared" si="49"/>
        <v>West</v>
      </c>
      <c r="N279" t="str">
        <f t="shared" si="50"/>
        <v>Mumbai</v>
      </c>
      <c r="O279" t="str">
        <f t="shared" si="51"/>
        <v>Smb</v>
      </c>
      <c r="P279" s="4" t="str">
        <f t="shared" si="52"/>
        <v>Direct</v>
      </c>
      <c r="Q279">
        <f t="shared" si="53"/>
        <v>43002.92</v>
      </c>
      <c r="R279" s="6">
        <f t="shared" si="54"/>
        <v>-585.83999999999651</v>
      </c>
      <c r="S279">
        <f t="shared" si="55"/>
        <v>-1.3811417476167537E-2</v>
      </c>
      <c r="T279">
        <f t="shared" si="56"/>
        <v>0.30215111929693245</v>
      </c>
      <c r="U279">
        <f t="shared" si="57"/>
        <v>-97966.58</v>
      </c>
      <c r="V279" t="str">
        <f t="shared" si="58"/>
        <v>Unprofitable</v>
      </c>
      <c r="W279" t="str" cm="1">
        <f t="array" ref="W279">_xlfn.IFS(S279&lt;0,"Loss", S279&lt;0.15,"Low Margin",S279&lt;0.3,"Medium High", TRUE, "High Margin")</f>
        <v>Loss</v>
      </c>
      <c r="X279" t="str">
        <f t="shared" si="59"/>
        <v>04-2024</v>
      </c>
    </row>
    <row r="280" spans="1:24" x14ac:dyDescent="0.3">
      <c r="A280">
        <v>10517</v>
      </c>
      <c r="B280" s="1">
        <v>45297</v>
      </c>
      <c r="C280" t="s">
        <v>45</v>
      </c>
      <c r="D280" t="s">
        <v>31</v>
      </c>
      <c r="E280" t="s">
        <v>24</v>
      </c>
      <c r="F280" t="s">
        <v>32</v>
      </c>
      <c r="G280" t="s">
        <v>42</v>
      </c>
      <c r="H280" t="s">
        <v>28</v>
      </c>
      <c r="I280">
        <v>161600.67000000001</v>
      </c>
      <c r="J280">
        <v>64738.26</v>
      </c>
      <c r="K280">
        <v>105007.03999999999</v>
      </c>
      <c r="L280" t="str">
        <f t="shared" si="48"/>
        <v>Rahul</v>
      </c>
      <c r="M280" t="str">
        <f t="shared" si="49"/>
        <v>South</v>
      </c>
      <c r="N280" t="str">
        <f t="shared" si="50"/>
        <v>Chennai</v>
      </c>
      <c r="O280" t="str">
        <f t="shared" si="51"/>
        <v>Smb</v>
      </c>
      <c r="P280" s="4" t="str">
        <f t="shared" si="52"/>
        <v>Direct</v>
      </c>
      <c r="Q280">
        <f t="shared" si="53"/>
        <v>64738.26</v>
      </c>
      <c r="R280" s="6">
        <f t="shared" si="54"/>
        <v>96862.41</v>
      </c>
      <c r="S280">
        <f t="shared" si="55"/>
        <v>0.59939361637547661</v>
      </c>
      <c r="T280">
        <f t="shared" si="56"/>
        <v>1.5389508170118882</v>
      </c>
      <c r="U280">
        <f t="shared" si="57"/>
        <v>56593.630000000019</v>
      </c>
      <c r="V280" t="str">
        <f t="shared" si="58"/>
        <v>Profitable</v>
      </c>
      <c r="W280" t="str" cm="1">
        <f t="array" ref="W280">_xlfn.IFS(S280&lt;0,"Loss", S280&lt;0.15,"Low Margin",S280&lt;0.3,"Medium High", TRUE, "High Margin")</f>
        <v>High Margin</v>
      </c>
      <c r="X280" t="str">
        <f t="shared" si="59"/>
        <v>01-2024</v>
      </c>
    </row>
    <row r="281" spans="1:24" x14ac:dyDescent="0.3">
      <c r="A281">
        <v>10098</v>
      </c>
      <c r="B281" s="1">
        <v>45471</v>
      </c>
      <c r="C281" t="s">
        <v>11</v>
      </c>
      <c r="E281" t="s">
        <v>35</v>
      </c>
      <c r="F281" t="s">
        <v>19</v>
      </c>
      <c r="G281" t="s">
        <v>20</v>
      </c>
      <c r="H281" t="s">
        <v>33</v>
      </c>
      <c r="I281">
        <v>114119.76</v>
      </c>
      <c r="J281">
        <v>27761.4</v>
      </c>
      <c r="K281">
        <v>128390.09</v>
      </c>
      <c r="L281" t="str">
        <f t="shared" si="48"/>
        <v>Rahul</v>
      </c>
      <c r="M281" t="str">
        <f t="shared" si="49"/>
        <v>Unknown</v>
      </c>
      <c r="N281" t="str">
        <f t="shared" si="50"/>
        <v>Hyderabad</v>
      </c>
      <c r="O281" t="str">
        <f t="shared" si="51"/>
        <v>Startup</v>
      </c>
      <c r="P281" s="4" t="str">
        <f t="shared" si="52"/>
        <v>Partner</v>
      </c>
      <c r="Q281">
        <f t="shared" si="53"/>
        <v>27761.4</v>
      </c>
      <c r="R281" s="6">
        <f t="shared" si="54"/>
        <v>86358.359999999986</v>
      </c>
      <c r="S281">
        <f t="shared" si="55"/>
        <v>0.75673450417351029</v>
      </c>
      <c r="T281">
        <f t="shared" si="56"/>
        <v>0.88885177975963725</v>
      </c>
      <c r="U281">
        <f t="shared" si="57"/>
        <v>-14270.330000000002</v>
      </c>
      <c r="V281" t="str">
        <f t="shared" si="58"/>
        <v>Profitable</v>
      </c>
      <c r="W281" t="str" cm="1">
        <f t="array" ref="W281">_xlfn.IFS(S281&lt;0,"Loss", S281&lt;0.15,"Low Margin",S281&lt;0.3,"Medium High", TRUE, "High Margin")</f>
        <v>High Margin</v>
      </c>
      <c r="X281" t="str">
        <f t="shared" si="59"/>
        <v>06-2024</v>
      </c>
    </row>
    <row r="282" spans="1:24" x14ac:dyDescent="0.3">
      <c r="A282">
        <v>10036</v>
      </c>
      <c r="B282" s="1">
        <v>45517</v>
      </c>
      <c r="C282" t="s">
        <v>41</v>
      </c>
      <c r="E282" t="s">
        <v>35</v>
      </c>
      <c r="F282" t="s">
        <v>14</v>
      </c>
      <c r="G282" t="s">
        <v>40</v>
      </c>
      <c r="H282" t="s">
        <v>33</v>
      </c>
      <c r="I282">
        <v>84138.31</v>
      </c>
      <c r="J282">
        <v>119488.84</v>
      </c>
      <c r="K282">
        <v>88553.26</v>
      </c>
      <c r="L282" t="str">
        <f t="shared" si="48"/>
        <v>Neha</v>
      </c>
      <c r="M282" t="str">
        <f t="shared" si="49"/>
        <v>Unknown</v>
      </c>
      <c r="N282" t="str">
        <f t="shared" si="50"/>
        <v>Hyderabad</v>
      </c>
      <c r="O282" t="str">
        <f t="shared" si="51"/>
        <v>Enterprise</v>
      </c>
      <c r="P282" s="4" t="str">
        <f t="shared" si="52"/>
        <v>Partner</v>
      </c>
      <c r="Q282">
        <f t="shared" si="53"/>
        <v>119488.84</v>
      </c>
      <c r="R282" s="6">
        <f t="shared" si="54"/>
        <v>-35350.53</v>
      </c>
      <c r="S282">
        <f t="shared" si="55"/>
        <v>-0.42014784941603889</v>
      </c>
      <c r="T282">
        <f t="shared" si="56"/>
        <v>0.95014356331997263</v>
      </c>
      <c r="U282">
        <f t="shared" si="57"/>
        <v>-4414.9499999999971</v>
      </c>
      <c r="V282" t="str">
        <f t="shared" si="58"/>
        <v>Unprofitable</v>
      </c>
      <c r="W282" t="str" cm="1">
        <f t="array" ref="W282">_xlfn.IFS(S282&lt;0,"Loss", S282&lt;0.15,"Low Margin",S282&lt;0.3,"Medium High", TRUE, "High Margin")</f>
        <v>Loss</v>
      </c>
      <c r="X282" t="str">
        <f t="shared" si="59"/>
        <v>08-2024</v>
      </c>
    </row>
    <row r="283" spans="1:24" x14ac:dyDescent="0.3">
      <c r="A283">
        <v>10279</v>
      </c>
      <c r="B283" s="1">
        <v>45520</v>
      </c>
      <c r="C283" t="s">
        <v>25</v>
      </c>
      <c r="E283" t="s">
        <v>35</v>
      </c>
      <c r="F283" t="s">
        <v>14</v>
      </c>
      <c r="G283" t="s">
        <v>42</v>
      </c>
      <c r="H283" t="s">
        <v>16</v>
      </c>
      <c r="I283">
        <v>33289.29</v>
      </c>
      <c r="J283">
        <v>117790.8</v>
      </c>
      <c r="K283">
        <v>137039.43</v>
      </c>
      <c r="L283" t="str">
        <f t="shared" si="48"/>
        <v>Priya</v>
      </c>
      <c r="M283" t="str">
        <f t="shared" si="49"/>
        <v>Unknown</v>
      </c>
      <c r="N283" t="str">
        <f t="shared" si="50"/>
        <v>Hyderabad</v>
      </c>
      <c r="O283" t="str">
        <f t="shared" si="51"/>
        <v>Enterprise</v>
      </c>
      <c r="P283" s="4" t="str">
        <f t="shared" si="52"/>
        <v>direct</v>
      </c>
      <c r="Q283">
        <f t="shared" si="53"/>
        <v>117790.8</v>
      </c>
      <c r="R283" s="6">
        <f t="shared" si="54"/>
        <v>-84501.510000000009</v>
      </c>
      <c r="S283">
        <f t="shared" si="55"/>
        <v>-2.5383992869778842</v>
      </c>
      <c r="T283">
        <f t="shared" si="56"/>
        <v>0.24291760407935148</v>
      </c>
      <c r="U283">
        <f t="shared" si="57"/>
        <v>-103750.13999999998</v>
      </c>
      <c r="V283" t="str">
        <f t="shared" si="58"/>
        <v>Unprofitable</v>
      </c>
      <c r="W283" t="str" cm="1">
        <f t="array" ref="W283">_xlfn.IFS(S283&lt;0,"Loss", S283&lt;0.15,"Low Margin",S283&lt;0.3,"Medium High", TRUE, "High Margin")</f>
        <v>Loss</v>
      </c>
      <c r="X283" t="str">
        <f t="shared" si="59"/>
        <v>08-2024</v>
      </c>
    </row>
    <row r="284" spans="1:24" x14ac:dyDescent="0.3">
      <c r="A284">
        <v>10348</v>
      </c>
      <c r="B284" s="1">
        <v>45441</v>
      </c>
      <c r="C284" t="s">
        <v>41</v>
      </c>
      <c r="D284" t="s">
        <v>34</v>
      </c>
      <c r="E284" t="s">
        <v>13</v>
      </c>
      <c r="F284" t="s">
        <v>19</v>
      </c>
      <c r="G284" t="s">
        <v>43</v>
      </c>
      <c r="H284" t="s">
        <v>16</v>
      </c>
      <c r="I284">
        <v>174136.79</v>
      </c>
      <c r="J284">
        <v>78992.539999999994</v>
      </c>
      <c r="K284">
        <v>151915.44</v>
      </c>
      <c r="L284" t="str">
        <f t="shared" si="48"/>
        <v>Neha</v>
      </c>
      <c r="M284" t="str">
        <f t="shared" si="49"/>
        <v>East</v>
      </c>
      <c r="N284" t="str">
        <f t="shared" si="50"/>
        <v>Bengaluru</v>
      </c>
      <c r="O284" t="str">
        <f t="shared" si="51"/>
        <v>Startup</v>
      </c>
      <c r="P284" s="4" t="str">
        <f t="shared" si="52"/>
        <v>direct</v>
      </c>
      <c r="Q284">
        <f t="shared" si="53"/>
        <v>78992.539999999994</v>
      </c>
      <c r="R284" s="6">
        <f t="shared" si="54"/>
        <v>95144.250000000015</v>
      </c>
      <c r="S284">
        <f t="shared" si="55"/>
        <v>0.54637650091057732</v>
      </c>
      <c r="T284">
        <f t="shared" si="56"/>
        <v>1.1462744669007969</v>
      </c>
      <c r="U284">
        <f t="shared" si="57"/>
        <v>22221.350000000006</v>
      </c>
      <c r="V284" t="str">
        <f t="shared" si="58"/>
        <v>Profitable</v>
      </c>
      <c r="W284" t="str" cm="1">
        <f t="array" ref="W284">_xlfn.IFS(S284&lt;0,"Loss", S284&lt;0.15,"Low Margin",S284&lt;0.3,"Medium High", TRUE, "High Margin")</f>
        <v>High Margin</v>
      </c>
      <c r="X284" t="str">
        <f t="shared" si="59"/>
        <v>05-2024</v>
      </c>
    </row>
    <row r="285" spans="1:24" x14ac:dyDescent="0.3">
      <c r="A285">
        <v>10496</v>
      </c>
      <c r="B285" s="1">
        <v>45489</v>
      </c>
      <c r="C285" t="s">
        <v>30</v>
      </c>
      <c r="D285" t="s">
        <v>12</v>
      </c>
      <c r="E285" t="s">
        <v>13</v>
      </c>
      <c r="F285" t="s">
        <v>39</v>
      </c>
      <c r="G285" t="s">
        <v>42</v>
      </c>
      <c r="H285" t="s">
        <v>16</v>
      </c>
      <c r="I285">
        <v>38196.46</v>
      </c>
      <c r="J285">
        <v>97116.44</v>
      </c>
      <c r="K285">
        <v>43429.8</v>
      </c>
      <c r="L285" t="str">
        <f t="shared" si="48"/>
        <v>Ankit</v>
      </c>
      <c r="M285" t="str">
        <f t="shared" si="49"/>
        <v>South</v>
      </c>
      <c r="N285" t="str">
        <f t="shared" si="50"/>
        <v>Bengaluru</v>
      </c>
      <c r="O285" t="str">
        <f t="shared" si="51"/>
        <v>Enterprise</v>
      </c>
      <c r="P285" s="4" t="str">
        <f t="shared" si="52"/>
        <v>direct</v>
      </c>
      <c r="Q285">
        <f t="shared" si="53"/>
        <v>97116.44</v>
      </c>
      <c r="R285" s="6">
        <f t="shared" si="54"/>
        <v>-58919.98</v>
      </c>
      <c r="S285">
        <f t="shared" si="55"/>
        <v>-1.5425508018282323</v>
      </c>
      <c r="T285">
        <f t="shared" si="56"/>
        <v>0.87949886943987765</v>
      </c>
      <c r="U285">
        <f t="shared" si="57"/>
        <v>-5233.3400000000038</v>
      </c>
      <c r="V285" t="str">
        <f t="shared" si="58"/>
        <v>Unprofitable</v>
      </c>
      <c r="W285" t="str" cm="1">
        <f t="array" ref="W285">_xlfn.IFS(S285&lt;0,"Loss", S285&lt;0.15,"Low Margin",S285&lt;0.3,"Medium High", TRUE, "High Margin")</f>
        <v>Loss</v>
      </c>
      <c r="X285" t="str">
        <f t="shared" si="59"/>
        <v>07-2024</v>
      </c>
    </row>
    <row r="286" spans="1:24" x14ac:dyDescent="0.3">
      <c r="A286">
        <v>10301</v>
      </c>
      <c r="B286" s="1">
        <v>45361</v>
      </c>
      <c r="D286" t="s">
        <v>34</v>
      </c>
      <c r="E286" t="s">
        <v>18</v>
      </c>
      <c r="F286" t="s">
        <v>19</v>
      </c>
      <c r="G286" t="s">
        <v>27</v>
      </c>
      <c r="H286" t="s">
        <v>33</v>
      </c>
      <c r="I286">
        <v>67479.27</v>
      </c>
      <c r="J286">
        <v>86666.72</v>
      </c>
      <c r="K286">
        <v>153268.75</v>
      </c>
      <c r="L286" t="str">
        <f t="shared" si="48"/>
        <v>Unassigned</v>
      </c>
      <c r="M286" t="str">
        <f t="shared" si="49"/>
        <v>East</v>
      </c>
      <c r="N286" t="str">
        <f t="shared" si="50"/>
        <v>Bengaluru</v>
      </c>
      <c r="O286" t="str">
        <f t="shared" si="51"/>
        <v>Startup</v>
      </c>
      <c r="P286" s="4" t="str">
        <f t="shared" si="52"/>
        <v>Partner</v>
      </c>
      <c r="Q286">
        <f t="shared" si="53"/>
        <v>86666.72</v>
      </c>
      <c r="R286" s="6">
        <f t="shared" si="54"/>
        <v>-19187.449999999997</v>
      </c>
      <c r="S286">
        <f t="shared" si="55"/>
        <v>-0.28434584428669718</v>
      </c>
      <c r="T286">
        <f t="shared" si="56"/>
        <v>0.44026763446560374</v>
      </c>
      <c r="U286">
        <f t="shared" si="57"/>
        <v>-85789.48</v>
      </c>
      <c r="V286" t="str">
        <f t="shared" si="58"/>
        <v>Unprofitable</v>
      </c>
      <c r="W286" t="str" cm="1">
        <f t="array" ref="W286">_xlfn.IFS(S286&lt;0,"Loss", S286&lt;0.15,"Low Margin",S286&lt;0.3,"Medium High", TRUE, "High Margin")</f>
        <v>Loss</v>
      </c>
      <c r="X286" t="str">
        <f t="shared" si="59"/>
        <v>03-2024</v>
      </c>
    </row>
    <row r="287" spans="1:24" x14ac:dyDescent="0.3">
      <c r="A287">
        <v>10180</v>
      </c>
      <c r="B287" s="1">
        <v>45403</v>
      </c>
      <c r="C287" t="s">
        <v>36</v>
      </c>
      <c r="D287" t="s">
        <v>23</v>
      </c>
      <c r="E287" t="s">
        <v>13</v>
      </c>
      <c r="G287" t="s">
        <v>20</v>
      </c>
      <c r="H287" t="s">
        <v>33</v>
      </c>
      <c r="I287">
        <v>63688.74</v>
      </c>
      <c r="J287">
        <v>72399.509999999995</v>
      </c>
      <c r="L287" t="str">
        <f t="shared" si="48"/>
        <v>Amit</v>
      </c>
      <c r="M287" t="str">
        <f t="shared" si="49"/>
        <v>West</v>
      </c>
      <c r="N287" t="str">
        <f t="shared" si="50"/>
        <v>Bengaluru</v>
      </c>
      <c r="O287" t="str">
        <f t="shared" si="51"/>
        <v>Unknown</v>
      </c>
      <c r="P287" s="4" t="str">
        <f t="shared" si="52"/>
        <v>Partner</v>
      </c>
      <c r="Q287">
        <f t="shared" si="53"/>
        <v>72399.509999999995</v>
      </c>
      <c r="R287" s="6">
        <f t="shared" si="54"/>
        <v>-8710.7699999999968</v>
      </c>
      <c r="S287">
        <f t="shared" si="55"/>
        <v>-0.13677095825729943</v>
      </c>
      <c r="T287">
        <f t="shared" si="56"/>
        <v>0</v>
      </c>
      <c r="U287">
        <f t="shared" si="57"/>
        <v>63688.74</v>
      </c>
      <c r="V287" t="str">
        <f t="shared" si="58"/>
        <v>Unprofitable</v>
      </c>
      <c r="W287" t="str" cm="1">
        <f t="array" ref="W287">_xlfn.IFS(S287&lt;0,"Loss", S287&lt;0.15,"Low Margin",S287&lt;0.3,"Medium High", TRUE, "High Margin")</f>
        <v>Loss</v>
      </c>
      <c r="X287" t="str">
        <f t="shared" si="59"/>
        <v>04-2024</v>
      </c>
    </row>
    <row r="288" spans="1:24" x14ac:dyDescent="0.3">
      <c r="A288">
        <v>10098</v>
      </c>
      <c r="B288" s="1">
        <v>45295</v>
      </c>
      <c r="C288" t="s">
        <v>30</v>
      </c>
      <c r="D288" t="s">
        <v>23</v>
      </c>
      <c r="F288" t="s">
        <v>14</v>
      </c>
      <c r="G288" t="s">
        <v>15</v>
      </c>
      <c r="H288" t="s">
        <v>16</v>
      </c>
      <c r="I288">
        <v>175311.49</v>
      </c>
      <c r="J288">
        <v>9241.7199999999993</v>
      </c>
      <c r="K288">
        <v>155146.54999999999</v>
      </c>
      <c r="L288" t="str">
        <f t="shared" si="48"/>
        <v>Ankit</v>
      </c>
      <c r="M288" t="str">
        <f t="shared" si="49"/>
        <v>West</v>
      </c>
      <c r="N288" t="str">
        <f t="shared" si="50"/>
        <v>Unknown</v>
      </c>
      <c r="O288" t="str">
        <f t="shared" si="51"/>
        <v>Enterprise</v>
      </c>
      <c r="P288" s="4" t="str">
        <f t="shared" si="52"/>
        <v>direct</v>
      </c>
      <c r="Q288">
        <f t="shared" si="53"/>
        <v>9241.7199999999993</v>
      </c>
      <c r="R288" s="6">
        <f t="shared" si="54"/>
        <v>166069.76999999999</v>
      </c>
      <c r="S288">
        <f t="shared" si="55"/>
        <v>0.94728400289108261</v>
      </c>
      <c r="T288">
        <f t="shared" si="56"/>
        <v>1.1299734992495805</v>
      </c>
      <c r="U288">
        <f t="shared" si="57"/>
        <v>20164.940000000002</v>
      </c>
      <c r="V288" t="str">
        <f t="shared" si="58"/>
        <v>Profitable</v>
      </c>
      <c r="W288" t="str" cm="1">
        <f t="array" ref="W288">_xlfn.IFS(S288&lt;0,"Loss", S288&lt;0.15,"Low Margin",S288&lt;0.3,"Medium High", TRUE, "High Margin")</f>
        <v>High Margin</v>
      </c>
      <c r="X288" t="str">
        <f t="shared" si="59"/>
        <v>01-2024</v>
      </c>
    </row>
    <row r="289" spans="1:24" x14ac:dyDescent="0.3">
      <c r="A289">
        <v>10115</v>
      </c>
      <c r="B289" s="1">
        <v>45386</v>
      </c>
      <c r="D289" t="s">
        <v>12</v>
      </c>
      <c r="E289" t="s">
        <v>26</v>
      </c>
      <c r="F289" t="s">
        <v>32</v>
      </c>
      <c r="G289" t="s">
        <v>20</v>
      </c>
      <c r="H289" t="s">
        <v>16</v>
      </c>
      <c r="I289">
        <v>137158.97</v>
      </c>
      <c r="J289">
        <v>56207.43</v>
      </c>
      <c r="K289">
        <v>89008.27</v>
      </c>
      <c r="L289" t="str">
        <f t="shared" si="48"/>
        <v>Unassigned</v>
      </c>
      <c r="M289" t="str">
        <f t="shared" si="49"/>
        <v>South</v>
      </c>
      <c r="N289" t="str">
        <f t="shared" si="50"/>
        <v>Mumbai</v>
      </c>
      <c r="O289" t="str">
        <f t="shared" si="51"/>
        <v>Smb</v>
      </c>
      <c r="P289" s="4" t="str">
        <f t="shared" si="52"/>
        <v>direct</v>
      </c>
      <c r="Q289">
        <f t="shared" si="53"/>
        <v>56207.43</v>
      </c>
      <c r="R289" s="6">
        <f t="shared" si="54"/>
        <v>80951.540000000008</v>
      </c>
      <c r="S289">
        <f t="shared" si="55"/>
        <v>0.59020230321064682</v>
      </c>
      <c r="T289">
        <f t="shared" si="56"/>
        <v>1.5409688335701839</v>
      </c>
      <c r="U289">
        <f t="shared" si="57"/>
        <v>48150.7</v>
      </c>
      <c r="V289" t="str">
        <f t="shared" si="58"/>
        <v>Profitable</v>
      </c>
      <c r="W289" t="str" cm="1">
        <f t="array" ref="W289">_xlfn.IFS(S289&lt;0,"Loss", S289&lt;0.15,"Low Margin",S289&lt;0.3,"Medium High", TRUE, "High Margin")</f>
        <v>High Margin</v>
      </c>
      <c r="X289" t="str">
        <f t="shared" si="59"/>
        <v>04-2024</v>
      </c>
    </row>
    <row r="290" spans="1:24" x14ac:dyDescent="0.3">
      <c r="A290">
        <v>10190</v>
      </c>
      <c r="B290" s="1">
        <v>45443</v>
      </c>
      <c r="C290" t="s">
        <v>36</v>
      </c>
      <c r="D290" t="s">
        <v>31</v>
      </c>
      <c r="E290" t="s">
        <v>44</v>
      </c>
      <c r="G290" t="s">
        <v>15</v>
      </c>
      <c r="I290">
        <v>160962.82999999999</v>
      </c>
      <c r="J290">
        <v>81950</v>
      </c>
      <c r="K290">
        <v>80646.48</v>
      </c>
      <c r="L290" t="str">
        <f t="shared" si="48"/>
        <v>Amit</v>
      </c>
      <c r="M290" t="str">
        <f t="shared" si="49"/>
        <v>South</v>
      </c>
      <c r="N290" t="str">
        <f t="shared" si="50"/>
        <v>Pune</v>
      </c>
      <c r="O290" t="str">
        <f t="shared" si="51"/>
        <v>Unknown</v>
      </c>
      <c r="P290" s="4" t="str">
        <f t="shared" si="52"/>
        <v>Unknown</v>
      </c>
      <c r="Q290">
        <f t="shared" si="53"/>
        <v>81950</v>
      </c>
      <c r="R290" s="6">
        <f t="shared" si="54"/>
        <v>79012.829999999987</v>
      </c>
      <c r="S290">
        <f t="shared" si="55"/>
        <v>0.49087624764052668</v>
      </c>
      <c r="T290">
        <f t="shared" si="56"/>
        <v>1.9959064549376488</v>
      </c>
      <c r="U290">
        <f t="shared" si="57"/>
        <v>80316.349999999991</v>
      </c>
      <c r="V290" t="str">
        <f t="shared" si="58"/>
        <v>Profitable</v>
      </c>
      <c r="W290" t="str" cm="1">
        <f t="array" ref="W290">_xlfn.IFS(S290&lt;0,"Loss", S290&lt;0.15,"Low Margin",S290&lt;0.3,"Medium High", TRUE, "High Margin")</f>
        <v>High Margin</v>
      </c>
      <c r="X290" t="str">
        <f t="shared" si="59"/>
        <v>05-2024</v>
      </c>
    </row>
    <row r="291" spans="1:24" x14ac:dyDescent="0.3">
      <c r="A291">
        <v>10252</v>
      </c>
      <c r="B291" s="1">
        <v>45428</v>
      </c>
      <c r="D291" t="s">
        <v>12</v>
      </c>
      <c r="E291" t="s">
        <v>44</v>
      </c>
      <c r="F291" t="s">
        <v>14</v>
      </c>
      <c r="G291" t="s">
        <v>42</v>
      </c>
      <c r="H291" t="s">
        <v>16</v>
      </c>
      <c r="I291">
        <v>56089.84</v>
      </c>
      <c r="J291">
        <v>82271.199999999997</v>
      </c>
      <c r="K291">
        <v>166409.72</v>
      </c>
      <c r="L291" t="str">
        <f t="shared" si="48"/>
        <v>Unassigned</v>
      </c>
      <c r="M291" t="str">
        <f t="shared" si="49"/>
        <v>South</v>
      </c>
      <c r="N291" t="str">
        <f t="shared" si="50"/>
        <v>Pune</v>
      </c>
      <c r="O291" t="str">
        <f t="shared" si="51"/>
        <v>Enterprise</v>
      </c>
      <c r="P291" s="4" t="str">
        <f t="shared" si="52"/>
        <v>direct</v>
      </c>
      <c r="Q291">
        <f t="shared" si="53"/>
        <v>82271.199999999997</v>
      </c>
      <c r="R291" s="6">
        <f t="shared" si="54"/>
        <v>-26181.360000000001</v>
      </c>
      <c r="S291">
        <f t="shared" si="55"/>
        <v>-0.46677544453683595</v>
      </c>
      <c r="T291">
        <f t="shared" si="56"/>
        <v>0.33705867662057237</v>
      </c>
      <c r="U291">
        <f t="shared" si="57"/>
        <v>-110319.88</v>
      </c>
      <c r="V291" t="str">
        <f t="shared" si="58"/>
        <v>Unprofitable</v>
      </c>
      <c r="W291" t="str" cm="1">
        <f t="array" ref="W291">_xlfn.IFS(S291&lt;0,"Loss", S291&lt;0.15,"Low Margin",S291&lt;0.3,"Medium High", TRUE, "High Margin")</f>
        <v>Loss</v>
      </c>
      <c r="X291" t="str">
        <f t="shared" si="59"/>
        <v>05-2024</v>
      </c>
    </row>
    <row r="292" spans="1:24" x14ac:dyDescent="0.3">
      <c r="A292">
        <v>10160</v>
      </c>
      <c r="B292" s="1">
        <v>45538</v>
      </c>
      <c r="C292" t="s">
        <v>11</v>
      </c>
      <c r="D292" t="s">
        <v>17</v>
      </c>
      <c r="E292" t="s">
        <v>18</v>
      </c>
      <c r="F292" t="s">
        <v>19</v>
      </c>
      <c r="G292" t="s">
        <v>40</v>
      </c>
      <c r="I292">
        <v>127975.83</v>
      </c>
      <c r="J292">
        <v>46655.35</v>
      </c>
      <c r="K292">
        <v>60187.08</v>
      </c>
      <c r="L292" t="str">
        <f t="shared" si="48"/>
        <v>Rahul</v>
      </c>
      <c r="M292" t="str">
        <f t="shared" si="49"/>
        <v>West</v>
      </c>
      <c r="N292" t="str">
        <f t="shared" si="50"/>
        <v>Bengaluru</v>
      </c>
      <c r="O292" t="str">
        <f t="shared" si="51"/>
        <v>Startup</v>
      </c>
      <c r="P292" s="4" t="str">
        <f t="shared" si="52"/>
        <v>Unknown</v>
      </c>
      <c r="Q292">
        <f t="shared" si="53"/>
        <v>46655.35</v>
      </c>
      <c r="R292" s="6">
        <f t="shared" si="54"/>
        <v>81320.48000000001</v>
      </c>
      <c r="S292">
        <f t="shared" si="55"/>
        <v>0.63543623823342277</v>
      </c>
      <c r="T292">
        <f t="shared" si="56"/>
        <v>2.1263006944347524</v>
      </c>
      <c r="U292">
        <f t="shared" si="57"/>
        <v>67788.75</v>
      </c>
      <c r="V292" t="str">
        <f t="shared" si="58"/>
        <v>Profitable</v>
      </c>
      <c r="W292" t="str" cm="1">
        <f t="array" ref="W292">_xlfn.IFS(S292&lt;0,"Loss", S292&lt;0.15,"Low Margin",S292&lt;0.3,"Medium High", TRUE, "High Margin")</f>
        <v>High Margin</v>
      </c>
      <c r="X292" t="str">
        <f t="shared" si="59"/>
        <v>09-2024</v>
      </c>
    </row>
    <row r="293" spans="1:24" x14ac:dyDescent="0.3">
      <c r="A293">
        <v>10255</v>
      </c>
      <c r="B293" s="1">
        <v>45534</v>
      </c>
      <c r="C293" t="s">
        <v>25</v>
      </c>
      <c r="D293" t="s">
        <v>23</v>
      </c>
      <c r="E293" t="s">
        <v>13</v>
      </c>
      <c r="G293" t="s">
        <v>43</v>
      </c>
      <c r="H293" t="s">
        <v>21</v>
      </c>
      <c r="I293">
        <v>117775.23</v>
      </c>
      <c r="J293">
        <v>113177.96</v>
      </c>
      <c r="K293">
        <v>155073.97</v>
      </c>
      <c r="L293" t="str">
        <f t="shared" si="48"/>
        <v>Priya</v>
      </c>
      <c r="M293" t="str">
        <f t="shared" si="49"/>
        <v>West</v>
      </c>
      <c r="N293" t="str">
        <f t="shared" si="50"/>
        <v>Bengaluru</v>
      </c>
      <c r="O293" t="str">
        <f t="shared" si="51"/>
        <v>Unknown</v>
      </c>
      <c r="P293" s="4" t="str">
        <f t="shared" si="52"/>
        <v>Online</v>
      </c>
      <c r="Q293">
        <f t="shared" si="53"/>
        <v>113177.96</v>
      </c>
      <c r="R293" s="6">
        <f t="shared" si="54"/>
        <v>4597.2699999999895</v>
      </c>
      <c r="S293">
        <f t="shared" si="55"/>
        <v>3.9034268920553068E-2</v>
      </c>
      <c r="T293">
        <f t="shared" si="56"/>
        <v>0.75947775116610472</v>
      </c>
      <c r="U293">
        <f t="shared" si="57"/>
        <v>-37298.740000000005</v>
      </c>
      <c r="V293" t="str">
        <f t="shared" si="58"/>
        <v>Profitable</v>
      </c>
      <c r="W293" t="str" cm="1">
        <f t="array" ref="W293">_xlfn.IFS(S293&lt;0,"Loss", S293&lt;0.15,"Low Margin",S293&lt;0.3,"Medium High", TRUE, "High Margin")</f>
        <v>Low Margin</v>
      </c>
      <c r="X293" t="str">
        <f t="shared" si="59"/>
        <v>08-2024</v>
      </c>
    </row>
    <row r="294" spans="1:24" x14ac:dyDescent="0.3">
      <c r="A294">
        <v>10322</v>
      </c>
      <c r="B294" s="1">
        <v>45322</v>
      </c>
      <c r="C294" t="s">
        <v>30</v>
      </c>
      <c r="D294" t="s">
        <v>37</v>
      </c>
      <c r="F294" t="s">
        <v>14</v>
      </c>
      <c r="G294" t="s">
        <v>20</v>
      </c>
      <c r="H294" t="s">
        <v>33</v>
      </c>
      <c r="I294">
        <v>167903.43</v>
      </c>
      <c r="J294">
        <v>22580.77</v>
      </c>
      <c r="K294">
        <v>97443.29</v>
      </c>
      <c r="L294" t="str">
        <f t="shared" si="48"/>
        <v>Ankit</v>
      </c>
      <c r="M294" t="str">
        <f t="shared" si="49"/>
        <v>North</v>
      </c>
      <c r="N294" t="str">
        <f t="shared" si="50"/>
        <v>Unknown</v>
      </c>
      <c r="O294" t="str">
        <f t="shared" si="51"/>
        <v>Enterprise</v>
      </c>
      <c r="P294" s="4" t="str">
        <f t="shared" si="52"/>
        <v>Partner</v>
      </c>
      <c r="Q294">
        <f t="shared" si="53"/>
        <v>22580.77</v>
      </c>
      <c r="R294" s="6">
        <f t="shared" si="54"/>
        <v>145322.66</v>
      </c>
      <c r="S294">
        <f t="shared" si="55"/>
        <v>0.86551334895302623</v>
      </c>
      <c r="T294">
        <f t="shared" si="56"/>
        <v>1.7230886806059196</v>
      </c>
      <c r="U294">
        <f t="shared" si="57"/>
        <v>70460.14</v>
      </c>
      <c r="V294" t="str">
        <f t="shared" si="58"/>
        <v>Profitable</v>
      </c>
      <c r="W294" t="str" cm="1">
        <f t="array" ref="W294">_xlfn.IFS(S294&lt;0,"Loss", S294&lt;0.15,"Low Margin",S294&lt;0.3,"Medium High", TRUE, "High Margin")</f>
        <v>High Margin</v>
      </c>
      <c r="X294" t="str">
        <f t="shared" si="59"/>
        <v>01-2024</v>
      </c>
    </row>
    <row r="295" spans="1:24" x14ac:dyDescent="0.3">
      <c r="A295">
        <v>10127</v>
      </c>
      <c r="B295" s="1">
        <v>45331</v>
      </c>
      <c r="C295" t="s">
        <v>30</v>
      </c>
      <c r="D295" t="s">
        <v>37</v>
      </c>
      <c r="E295" t="s">
        <v>24</v>
      </c>
      <c r="F295" t="s">
        <v>39</v>
      </c>
      <c r="G295" t="s">
        <v>27</v>
      </c>
      <c r="H295" t="s">
        <v>16</v>
      </c>
      <c r="I295">
        <v>181968.72</v>
      </c>
      <c r="J295">
        <v>61542.06</v>
      </c>
      <c r="K295">
        <v>102255.27</v>
      </c>
      <c r="L295" t="str">
        <f t="shared" si="48"/>
        <v>Ankit</v>
      </c>
      <c r="M295" t="str">
        <f t="shared" si="49"/>
        <v>North</v>
      </c>
      <c r="N295" t="str">
        <f t="shared" si="50"/>
        <v>Chennai</v>
      </c>
      <c r="O295" t="str">
        <f t="shared" si="51"/>
        <v>Enterprise</v>
      </c>
      <c r="P295" s="4" t="str">
        <f t="shared" si="52"/>
        <v>direct</v>
      </c>
      <c r="Q295">
        <f t="shared" si="53"/>
        <v>61542.06</v>
      </c>
      <c r="R295" s="6">
        <f t="shared" si="54"/>
        <v>120426.66</v>
      </c>
      <c r="S295">
        <f t="shared" si="55"/>
        <v>0.66179868715897983</v>
      </c>
      <c r="T295">
        <f t="shared" si="56"/>
        <v>1.7795534645793805</v>
      </c>
      <c r="U295">
        <f t="shared" si="57"/>
        <v>79713.45</v>
      </c>
      <c r="V295" t="str">
        <f t="shared" si="58"/>
        <v>Profitable</v>
      </c>
      <c r="W295" t="str" cm="1">
        <f t="array" ref="W295">_xlfn.IFS(S295&lt;0,"Loss", S295&lt;0.15,"Low Margin",S295&lt;0.3,"Medium High", TRUE, "High Margin")</f>
        <v>High Margin</v>
      </c>
      <c r="X295" t="str">
        <f t="shared" si="59"/>
        <v>02-2024</v>
      </c>
    </row>
    <row r="296" spans="1:24" x14ac:dyDescent="0.3">
      <c r="A296">
        <v>10017</v>
      </c>
      <c r="B296" s="1">
        <v>45520</v>
      </c>
      <c r="C296" t="s">
        <v>29</v>
      </c>
      <c r="D296" t="s">
        <v>31</v>
      </c>
      <c r="E296" t="s">
        <v>18</v>
      </c>
      <c r="F296" t="s">
        <v>39</v>
      </c>
      <c r="G296" t="s">
        <v>15</v>
      </c>
      <c r="H296" t="s">
        <v>33</v>
      </c>
      <c r="I296">
        <v>10334.1</v>
      </c>
      <c r="J296">
        <v>83833.429999999993</v>
      </c>
      <c r="L296" t="str">
        <f t="shared" si="48"/>
        <v>Sneha</v>
      </c>
      <c r="M296" t="str">
        <f t="shared" si="49"/>
        <v>South</v>
      </c>
      <c r="N296" t="str">
        <f t="shared" si="50"/>
        <v>Bengaluru</v>
      </c>
      <c r="O296" t="str">
        <f t="shared" si="51"/>
        <v>Enterprise</v>
      </c>
      <c r="P296" s="4" t="str">
        <f t="shared" si="52"/>
        <v>Partner</v>
      </c>
      <c r="Q296">
        <f t="shared" si="53"/>
        <v>83833.429999999993</v>
      </c>
      <c r="R296" s="6">
        <f t="shared" si="54"/>
        <v>-73499.329999999987</v>
      </c>
      <c r="S296">
        <f t="shared" si="55"/>
        <v>-7.1123106995287433</v>
      </c>
      <c r="T296">
        <f t="shared" si="56"/>
        <v>0</v>
      </c>
      <c r="U296">
        <f t="shared" si="57"/>
        <v>10334.1</v>
      </c>
      <c r="V296" t="str">
        <f t="shared" si="58"/>
        <v>Unprofitable</v>
      </c>
      <c r="W296" t="str" cm="1">
        <f t="array" ref="W296">_xlfn.IFS(S296&lt;0,"Loss", S296&lt;0.15,"Low Margin",S296&lt;0.3,"Medium High", TRUE, "High Margin")</f>
        <v>Loss</v>
      </c>
      <c r="X296" t="str">
        <f t="shared" si="59"/>
        <v>08-2024</v>
      </c>
    </row>
    <row r="297" spans="1:24" x14ac:dyDescent="0.3">
      <c r="A297">
        <v>10565</v>
      </c>
      <c r="B297" s="1">
        <v>45327</v>
      </c>
      <c r="C297" t="s">
        <v>22</v>
      </c>
      <c r="D297" t="s">
        <v>17</v>
      </c>
      <c r="F297" t="s">
        <v>32</v>
      </c>
      <c r="G297" t="s">
        <v>27</v>
      </c>
      <c r="H297" t="s">
        <v>33</v>
      </c>
      <c r="I297">
        <v>137411.82</v>
      </c>
      <c r="J297">
        <v>84564.89</v>
      </c>
      <c r="K297">
        <v>111686.75</v>
      </c>
      <c r="L297" t="str">
        <f t="shared" si="48"/>
        <v>Amit</v>
      </c>
      <c r="M297" t="str">
        <f t="shared" si="49"/>
        <v>West</v>
      </c>
      <c r="N297" t="str">
        <f t="shared" si="50"/>
        <v>Unknown</v>
      </c>
      <c r="O297" t="str">
        <f t="shared" si="51"/>
        <v>Smb</v>
      </c>
      <c r="P297" s="4" t="str">
        <f t="shared" si="52"/>
        <v>Partner</v>
      </c>
      <c r="Q297">
        <f t="shared" si="53"/>
        <v>84564.89</v>
      </c>
      <c r="R297" s="6">
        <f t="shared" si="54"/>
        <v>52846.930000000008</v>
      </c>
      <c r="S297">
        <f t="shared" si="55"/>
        <v>0.38458794883875352</v>
      </c>
      <c r="T297">
        <f t="shared" si="56"/>
        <v>1.2303323357515552</v>
      </c>
      <c r="U297">
        <f t="shared" si="57"/>
        <v>25725.070000000007</v>
      </c>
      <c r="V297" t="str">
        <f t="shared" si="58"/>
        <v>Profitable</v>
      </c>
      <c r="W297" t="str" cm="1">
        <f t="array" ref="W297">_xlfn.IFS(S297&lt;0,"Loss", S297&lt;0.15,"Low Margin",S297&lt;0.3,"Medium High", TRUE, "High Margin")</f>
        <v>High Margin</v>
      </c>
      <c r="X297" t="str">
        <f t="shared" si="59"/>
        <v>02-2024</v>
      </c>
    </row>
    <row r="298" spans="1:24" x14ac:dyDescent="0.3">
      <c r="A298">
        <v>10569</v>
      </c>
      <c r="B298" s="1">
        <v>45514</v>
      </c>
      <c r="C298" t="s">
        <v>11</v>
      </c>
      <c r="D298" t="s">
        <v>34</v>
      </c>
      <c r="E298" t="s">
        <v>24</v>
      </c>
      <c r="F298" t="s">
        <v>14</v>
      </c>
      <c r="G298" t="s">
        <v>40</v>
      </c>
      <c r="H298" t="s">
        <v>33</v>
      </c>
      <c r="I298">
        <v>17952.47</v>
      </c>
      <c r="J298">
        <v>78890.759999999995</v>
      </c>
      <c r="K298">
        <v>72033.789999999994</v>
      </c>
      <c r="L298" t="str">
        <f t="shared" si="48"/>
        <v>Rahul</v>
      </c>
      <c r="M298" t="str">
        <f t="shared" si="49"/>
        <v>East</v>
      </c>
      <c r="N298" t="str">
        <f t="shared" si="50"/>
        <v>Chennai</v>
      </c>
      <c r="O298" t="str">
        <f t="shared" si="51"/>
        <v>Enterprise</v>
      </c>
      <c r="P298" s="4" t="str">
        <f t="shared" si="52"/>
        <v>Partner</v>
      </c>
      <c r="Q298">
        <f t="shared" si="53"/>
        <v>78890.759999999995</v>
      </c>
      <c r="R298" s="6">
        <f t="shared" si="54"/>
        <v>-60938.289999999994</v>
      </c>
      <c r="S298">
        <f t="shared" si="55"/>
        <v>-3.3944237199672238</v>
      </c>
      <c r="T298">
        <f t="shared" si="56"/>
        <v>0.24922289941984174</v>
      </c>
      <c r="U298">
        <f t="shared" si="57"/>
        <v>-54081.319999999992</v>
      </c>
      <c r="V298" t="str">
        <f t="shared" si="58"/>
        <v>Unprofitable</v>
      </c>
      <c r="W298" t="str" cm="1">
        <f t="array" ref="W298">_xlfn.IFS(S298&lt;0,"Loss", S298&lt;0.15,"Low Margin",S298&lt;0.3,"Medium High", TRUE, "High Margin")</f>
        <v>Loss</v>
      </c>
      <c r="X298" t="str">
        <f t="shared" si="59"/>
        <v>08-2024</v>
      </c>
    </row>
    <row r="299" spans="1:24" x14ac:dyDescent="0.3">
      <c r="A299">
        <v>10322</v>
      </c>
      <c r="B299" s="1">
        <v>45297</v>
      </c>
      <c r="C299" t="s">
        <v>11</v>
      </c>
      <c r="D299" t="s">
        <v>17</v>
      </c>
      <c r="F299" t="s">
        <v>39</v>
      </c>
      <c r="G299" t="s">
        <v>15</v>
      </c>
      <c r="H299" t="s">
        <v>21</v>
      </c>
      <c r="I299">
        <v>113380.86</v>
      </c>
      <c r="J299">
        <v>35208.720000000001</v>
      </c>
      <c r="K299">
        <v>26283.11</v>
      </c>
      <c r="L299" t="str">
        <f t="shared" si="48"/>
        <v>Rahul</v>
      </c>
      <c r="M299" t="str">
        <f t="shared" si="49"/>
        <v>West</v>
      </c>
      <c r="N299" t="str">
        <f t="shared" si="50"/>
        <v>Unknown</v>
      </c>
      <c r="O299" t="str">
        <f t="shared" si="51"/>
        <v>Enterprise</v>
      </c>
      <c r="P299" s="4" t="str">
        <f t="shared" si="52"/>
        <v>Online</v>
      </c>
      <c r="Q299">
        <f t="shared" si="53"/>
        <v>35208.720000000001</v>
      </c>
      <c r="R299" s="6">
        <f t="shared" si="54"/>
        <v>78172.14</v>
      </c>
      <c r="S299">
        <f t="shared" si="55"/>
        <v>0.68946504727517499</v>
      </c>
      <c r="T299">
        <f t="shared" si="56"/>
        <v>4.3138296799731846</v>
      </c>
      <c r="U299">
        <f t="shared" si="57"/>
        <v>87097.75</v>
      </c>
      <c r="V299" t="str">
        <f t="shared" si="58"/>
        <v>Profitable</v>
      </c>
      <c r="W299" t="str" cm="1">
        <f t="array" ref="W299">_xlfn.IFS(S299&lt;0,"Loss", S299&lt;0.15,"Low Margin",S299&lt;0.3,"Medium High", TRUE, "High Margin")</f>
        <v>High Margin</v>
      </c>
      <c r="X299" t="str">
        <f t="shared" si="59"/>
        <v>01-2024</v>
      </c>
    </row>
    <row r="300" spans="1:24" x14ac:dyDescent="0.3">
      <c r="A300">
        <v>10287</v>
      </c>
      <c r="B300" s="1">
        <v>45511</v>
      </c>
      <c r="C300" t="s">
        <v>41</v>
      </c>
      <c r="D300" t="s">
        <v>37</v>
      </c>
      <c r="E300" t="s">
        <v>24</v>
      </c>
      <c r="F300" t="s">
        <v>19</v>
      </c>
      <c r="G300" t="s">
        <v>20</v>
      </c>
      <c r="H300" t="s">
        <v>28</v>
      </c>
      <c r="I300">
        <v>63225.48</v>
      </c>
      <c r="J300">
        <v>21276.17</v>
      </c>
      <c r="K300">
        <v>63519.78</v>
      </c>
      <c r="L300" t="str">
        <f t="shared" si="48"/>
        <v>Neha</v>
      </c>
      <c r="M300" t="str">
        <f t="shared" si="49"/>
        <v>North</v>
      </c>
      <c r="N300" t="str">
        <f t="shared" si="50"/>
        <v>Chennai</v>
      </c>
      <c r="O300" t="str">
        <f t="shared" si="51"/>
        <v>Startup</v>
      </c>
      <c r="P300" s="4" t="str">
        <f t="shared" si="52"/>
        <v>Direct</v>
      </c>
      <c r="Q300">
        <f t="shared" si="53"/>
        <v>21276.17</v>
      </c>
      <c r="R300" s="6">
        <f t="shared" si="54"/>
        <v>41949.310000000005</v>
      </c>
      <c r="S300">
        <f t="shared" si="55"/>
        <v>0.66348741045540505</v>
      </c>
      <c r="T300">
        <f t="shared" si="56"/>
        <v>0.99536679755502944</v>
      </c>
      <c r="U300">
        <f t="shared" si="57"/>
        <v>-294.29999999999563</v>
      </c>
      <c r="V300" t="str">
        <f t="shared" si="58"/>
        <v>Profitable</v>
      </c>
      <c r="W300" t="str" cm="1">
        <f t="array" ref="W300">_xlfn.IFS(S300&lt;0,"Loss", S300&lt;0.15,"Low Margin",S300&lt;0.3,"Medium High", TRUE, "High Margin")</f>
        <v>High Margin</v>
      </c>
      <c r="X300" t="str">
        <f t="shared" si="59"/>
        <v>08-2024</v>
      </c>
    </row>
    <row r="301" spans="1:24" x14ac:dyDescent="0.3">
      <c r="A301">
        <v>10154</v>
      </c>
      <c r="B301" s="1">
        <v>45366</v>
      </c>
      <c r="D301" t="s">
        <v>37</v>
      </c>
      <c r="E301" t="s">
        <v>38</v>
      </c>
      <c r="F301" t="s">
        <v>14</v>
      </c>
      <c r="G301" t="s">
        <v>42</v>
      </c>
      <c r="H301" t="s">
        <v>16</v>
      </c>
      <c r="I301">
        <v>66901.11</v>
      </c>
      <c r="J301">
        <v>77405.02</v>
      </c>
      <c r="K301">
        <v>21020.65</v>
      </c>
      <c r="L301" t="str">
        <f t="shared" si="48"/>
        <v>Unassigned</v>
      </c>
      <c r="M301" t="str">
        <f t="shared" si="49"/>
        <v>North</v>
      </c>
      <c r="N301" t="str">
        <f t="shared" si="50"/>
        <v>Delhi</v>
      </c>
      <c r="O301" t="str">
        <f t="shared" si="51"/>
        <v>Enterprise</v>
      </c>
      <c r="P301" s="4" t="str">
        <f t="shared" si="52"/>
        <v>direct</v>
      </c>
      <c r="Q301">
        <f t="shared" si="53"/>
        <v>77405.02</v>
      </c>
      <c r="R301" s="6">
        <f t="shared" si="54"/>
        <v>-10503.910000000003</v>
      </c>
      <c r="S301">
        <f t="shared" si="55"/>
        <v>-0.15700651304589719</v>
      </c>
      <c r="T301">
        <f t="shared" si="56"/>
        <v>3.1826375492670302</v>
      </c>
      <c r="U301">
        <f t="shared" si="57"/>
        <v>45880.46</v>
      </c>
      <c r="V301" t="str">
        <f t="shared" si="58"/>
        <v>Unprofitable</v>
      </c>
      <c r="W301" t="str" cm="1">
        <f t="array" ref="W301">_xlfn.IFS(S301&lt;0,"Loss", S301&lt;0.15,"Low Margin",S301&lt;0.3,"Medium High", TRUE, "High Margin")</f>
        <v>Loss</v>
      </c>
      <c r="X301" t="str">
        <f t="shared" si="59"/>
        <v>03-2024</v>
      </c>
    </row>
    <row r="302" spans="1:24" x14ac:dyDescent="0.3">
      <c r="A302">
        <v>10489</v>
      </c>
      <c r="B302" s="1">
        <v>45295</v>
      </c>
      <c r="C302" t="s">
        <v>22</v>
      </c>
      <c r="D302" t="s">
        <v>23</v>
      </c>
      <c r="F302" t="s">
        <v>19</v>
      </c>
      <c r="G302" t="s">
        <v>27</v>
      </c>
      <c r="H302" t="s">
        <v>28</v>
      </c>
      <c r="I302">
        <v>75768.03</v>
      </c>
      <c r="J302">
        <v>73118.350000000006</v>
      </c>
      <c r="K302">
        <v>176536.77</v>
      </c>
      <c r="L302" t="str">
        <f t="shared" si="48"/>
        <v>Amit</v>
      </c>
      <c r="M302" t="str">
        <f t="shared" si="49"/>
        <v>West</v>
      </c>
      <c r="N302" t="str">
        <f t="shared" si="50"/>
        <v>Unknown</v>
      </c>
      <c r="O302" t="str">
        <f t="shared" si="51"/>
        <v>Startup</v>
      </c>
      <c r="P302" s="4" t="str">
        <f t="shared" si="52"/>
        <v>Direct</v>
      </c>
      <c r="Q302">
        <f t="shared" si="53"/>
        <v>73118.350000000006</v>
      </c>
      <c r="R302" s="6">
        <f t="shared" si="54"/>
        <v>2649.679999999993</v>
      </c>
      <c r="S302">
        <f t="shared" si="55"/>
        <v>3.4970950148763183E-2</v>
      </c>
      <c r="T302">
        <f t="shared" si="56"/>
        <v>0.42919121042035607</v>
      </c>
      <c r="U302">
        <f t="shared" si="57"/>
        <v>-100768.73999999999</v>
      </c>
      <c r="V302" t="str">
        <f t="shared" si="58"/>
        <v>Profitable</v>
      </c>
      <c r="W302" t="str" cm="1">
        <f t="array" ref="W302">_xlfn.IFS(S302&lt;0,"Loss", S302&lt;0.15,"Low Margin",S302&lt;0.3,"Medium High", TRUE, "High Margin")</f>
        <v>Low Margin</v>
      </c>
      <c r="X302" t="str">
        <f t="shared" si="59"/>
        <v>01-2024</v>
      </c>
    </row>
    <row r="303" spans="1:24" x14ac:dyDescent="0.3">
      <c r="A303">
        <v>10385</v>
      </c>
      <c r="B303" s="1">
        <v>45425</v>
      </c>
      <c r="C303" t="s">
        <v>25</v>
      </c>
      <c r="D303" t="s">
        <v>17</v>
      </c>
      <c r="E303" t="s">
        <v>44</v>
      </c>
      <c r="F303" t="s">
        <v>19</v>
      </c>
      <c r="G303" t="s">
        <v>40</v>
      </c>
      <c r="H303" t="s">
        <v>28</v>
      </c>
      <c r="I303">
        <v>127288.15</v>
      </c>
      <c r="J303">
        <v>23984.65</v>
      </c>
      <c r="K303">
        <v>174519.55</v>
      </c>
      <c r="L303" t="str">
        <f t="shared" si="48"/>
        <v>Priya</v>
      </c>
      <c r="M303" t="str">
        <f t="shared" si="49"/>
        <v>West</v>
      </c>
      <c r="N303" t="str">
        <f t="shared" si="50"/>
        <v>Pune</v>
      </c>
      <c r="O303" t="str">
        <f t="shared" si="51"/>
        <v>Startup</v>
      </c>
      <c r="P303" s="4" t="str">
        <f t="shared" si="52"/>
        <v>Direct</v>
      </c>
      <c r="Q303">
        <f t="shared" si="53"/>
        <v>23984.65</v>
      </c>
      <c r="R303" s="6">
        <f t="shared" si="54"/>
        <v>103303.5</v>
      </c>
      <c r="S303">
        <f t="shared" si="55"/>
        <v>0.81157201200583096</v>
      </c>
      <c r="T303">
        <f t="shared" si="56"/>
        <v>0.72936327190850536</v>
      </c>
      <c r="U303">
        <f t="shared" si="57"/>
        <v>-47231.399999999994</v>
      </c>
      <c r="V303" t="str">
        <f t="shared" si="58"/>
        <v>Profitable</v>
      </c>
      <c r="W303" t="str" cm="1">
        <f t="array" ref="W303">_xlfn.IFS(S303&lt;0,"Loss", S303&lt;0.15,"Low Margin",S303&lt;0.3,"Medium High", TRUE, "High Margin")</f>
        <v>High Margin</v>
      </c>
      <c r="X303" t="str">
        <f t="shared" si="59"/>
        <v>05-2024</v>
      </c>
    </row>
    <row r="304" spans="1:24" x14ac:dyDescent="0.3">
      <c r="A304">
        <v>10103</v>
      </c>
      <c r="B304" s="1">
        <v>45409</v>
      </c>
      <c r="C304" t="s">
        <v>25</v>
      </c>
      <c r="D304" t="s">
        <v>17</v>
      </c>
      <c r="E304" t="s">
        <v>35</v>
      </c>
      <c r="F304" t="s">
        <v>39</v>
      </c>
      <c r="G304" t="s">
        <v>20</v>
      </c>
      <c r="H304" t="s">
        <v>28</v>
      </c>
      <c r="I304">
        <v>72137.59</v>
      </c>
      <c r="J304">
        <v>85501.28</v>
      </c>
      <c r="K304">
        <v>83224.850000000006</v>
      </c>
      <c r="L304" t="str">
        <f t="shared" si="48"/>
        <v>Priya</v>
      </c>
      <c r="M304" t="str">
        <f t="shared" si="49"/>
        <v>West</v>
      </c>
      <c r="N304" t="str">
        <f t="shared" si="50"/>
        <v>Hyderabad</v>
      </c>
      <c r="O304" t="str">
        <f t="shared" si="51"/>
        <v>Enterprise</v>
      </c>
      <c r="P304" s="4" t="str">
        <f t="shared" si="52"/>
        <v>Direct</v>
      </c>
      <c r="Q304">
        <f t="shared" si="53"/>
        <v>85501.28</v>
      </c>
      <c r="R304" s="6">
        <f t="shared" si="54"/>
        <v>-13363.690000000002</v>
      </c>
      <c r="S304">
        <f t="shared" si="55"/>
        <v>-0.18525279261477967</v>
      </c>
      <c r="T304">
        <f t="shared" si="56"/>
        <v>0.86677945349255647</v>
      </c>
      <c r="U304">
        <f t="shared" si="57"/>
        <v>-11087.260000000009</v>
      </c>
      <c r="V304" t="str">
        <f t="shared" si="58"/>
        <v>Unprofitable</v>
      </c>
      <c r="W304" t="str" cm="1">
        <f t="array" ref="W304">_xlfn.IFS(S304&lt;0,"Loss", S304&lt;0.15,"Low Margin",S304&lt;0.3,"Medium High", TRUE, "High Margin")</f>
        <v>Loss</v>
      </c>
      <c r="X304" t="str">
        <f t="shared" si="59"/>
        <v>04-2024</v>
      </c>
    </row>
    <row r="305" spans="1:24" x14ac:dyDescent="0.3">
      <c r="A305">
        <v>10392</v>
      </c>
      <c r="B305" s="1">
        <v>45385</v>
      </c>
      <c r="C305" t="s">
        <v>11</v>
      </c>
      <c r="D305" t="s">
        <v>37</v>
      </c>
      <c r="E305" t="s">
        <v>13</v>
      </c>
      <c r="F305" t="s">
        <v>14</v>
      </c>
      <c r="G305" t="s">
        <v>20</v>
      </c>
      <c r="H305" t="s">
        <v>33</v>
      </c>
      <c r="I305">
        <v>148678.22</v>
      </c>
      <c r="K305">
        <v>136539.34</v>
      </c>
      <c r="L305" t="str">
        <f t="shared" si="48"/>
        <v>Rahul</v>
      </c>
      <c r="M305" t="str">
        <f t="shared" si="49"/>
        <v>North</v>
      </c>
      <c r="N305" t="str">
        <f t="shared" si="50"/>
        <v>Bengaluru</v>
      </c>
      <c r="O305" t="str">
        <f t="shared" si="51"/>
        <v>Enterprise</v>
      </c>
      <c r="P305" s="4" t="str">
        <f t="shared" si="52"/>
        <v>Partner</v>
      </c>
      <c r="Q305">
        <f t="shared" si="53"/>
        <v>0</v>
      </c>
      <c r="R305" s="6">
        <f t="shared" si="54"/>
        <v>148678.22</v>
      </c>
      <c r="S305">
        <f t="shared" si="55"/>
        <v>1</v>
      </c>
      <c r="T305">
        <f t="shared" si="56"/>
        <v>1.0889039012492663</v>
      </c>
      <c r="U305">
        <f t="shared" si="57"/>
        <v>12138.880000000005</v>
      </c>
      <c r="V305" t="str">
        <f t="shared" si="58"/>
        <v>Profitable</v>
      </c>
      <c r="W305" t="str" cm="1">
        <f t="array" ref="W305">_xlfn.IFS(S305&lt;0,"Loss", S305&lt;0.15,"Low Margin",S305&lt;0.3,"Medium High", TRUE, "High Margin")</f>
        <v>High Margin</v>
      </c>
      <c r="X305" t="str">
        <f t="shared" si="59"/>
        <v>04-2024</v>
      </c>
    </row>
    <row r="306" spans="1:24" x14ac:dyDescent="0.3">
      <c r="A306">
        <v>10245</v>
      </c>
      <c r="B306" s="1">
        <v>45353</v>
      </c>
      <c r="C306" t="s">
        <v>25</v>
      </c>
      <c r="D306" t="s">
        <v>34</v>
      </c>
      <c r="E306" t="s">
        <v>24</v>
      </c>
      <c r="G306" t="s">
        <v>20</v>
      </c>
      <c r="I306">
        <v>85669.26</v>
      </c>
      <c r="J306">
        <v>81127.990000000005</v>
      </c>
      <c r="K306">
        <v>75328.98</v>
      </c>
      <c r="L306" t="str">
        <f t="shared" si="48"/>
        <v>Priya</v>
      </c>
      <c r="M306" t="str">
        <f t="shared" si="49"/>
        <v>East</v>
      </c>
      <c r="N306" t="str">
        <f t="shared" si="50"/>
        <v>Chennai</v>
      </c>
      <c r="O306" t="str">
        <f t="shared" si="51"/>
        <v>Unknown</v>
      </c>
      <c r="P306" s="4" t="str">
        <f t="shared" si="52"/>
        <v>Unknown</v>
      </c>
      <c r="Q306">
        <f t="shared" si="53"/>
        <v>81127.990000000005</v>
      </c>
      <c r="R306" s="6">
        <f t="shared" si="54"/>
        <v>4541.2699999999895</v>
      </c>
      <c r="S306">
        <f t="shared" si="55"/>
        <v>5.3009329133927266E-2</v>
      </c>
      <c r="T306">
        <f t="shared" si="56"/>
        <v>1.137268286388585</v>
      </c>
      <c r="U306">
        <f t="shared" si="57"/>
        <v>10340.279999999999</v>
      </c>
      <c r="V306" t="str">
        <f t="shared" si="58"/>
        <v>Profitable</v>
      </c>
      <c r="W306" t="str" cm="1">
        <f t="array" ref="W306">_xlfn.IFS(S306&lt;0,"Loss", S306&lt;0.15,"Low Margin",S306&lt;0.3,"Medium High", TRUE, "High Margin")</f>
        <v>Low Margin</v>
      </c>
      <c r="X306" t="str">
        <f t="shared" si="59"/>
        <v>03-2024</v>
      </c>
    </row>
    <row r="307" spans="1:24" x14ac:dyDescent="0.3">
      <c r="A307">
        <v>10175</v>
      </c>
      <c r="B307" s="1">
        <v>45485</v>
      </c>
      <c r="C307" t="s">
        <v>29</v>
      </c>
      <c r="D307" t="s">
        <v>31</v>
      </c>
      <c r="E307" t="s">
        <v>38</v>
      </c>
      <c r="F307" t="s">
        <v>39</v>
      </c>
      <c r="G307" t="s">
        <v>20</v>
      </c>
      <c r="H307" t="s">
        <v>33</v>
      </c>
      <c r="I307">
        <v>21123.81</v>
      </c>
      <c r="J307">
        <v>100971.95</v>
      </c>
      <c r="K307">
        <v>127374.91</v>
      </c>
      <c r="L307" t="str">
        <f t="shared" si="48"/>
        <v>Sneha</v>
      </c>
      <c r="M307" t="str">
        <f t="shared" si="49"/>
        <v>South</v>
      </c>
      <c r="N307" t="str">
        <f t="shared" si="50"/>
        <v>Delhi</v>
      </c>
      <c r="O307" t="str">
        <f t="shared" si="51"/>
        <v>Enterprise</v>
      </c>
      <c r="P307" s="4" t="str">
        <f t="shared" si="52"/>
        <v>Partner</v>
      </c>
      <c r="Q307">
        <f t="shared" si="53"/>
        <v>100971.95</v>
      </c>
      <c r="R307" s="6">
        <f t="shared" si="54"/>
        <v>-79848.14</v>
      </c>
      <c r="S307">
        <f t="shared" si="55"/>
        <v>-3.780006542380375</v>
      </c>
      <c r="T307">
        <f t="shared" si="56"/>
        <v>0.16583964612811111</v>
      </c>
      <c r="U307">
        <f t="shared" si="57"/>
        <v>-106251.1</v>
      </c>
      <c r="V307" t="str">
        <f t="shared" si="58"/>
        <v>Unprofitable</v>
      </c>
      <c r="W307" t="str" cm="1">
        <f t="array" ref="W307">_xlfn.IFS(S307&lt;0,"Loss", S307&lt;0.15,"Low Margin",S307&lt;0.3,"Medium High", TRUE, "High Margin")</f>
        <v>Loss</v>
      </c>
      <c r="X307" t="str">
        <f t="shared" si="59"/>
        <v>07-2024</v>
      </c>
    </row>
    <row r="308" spans="1:24" x14ac:dyDescent="0.3">
      <c r="A308">
        <v>10038</v>
      </c>
      <c r="B308" s="1">
        <v>45494</v>
      </c>
      <c r="C308" t="s">
        <v>30</v>
      </c>
      <c r="F308" t="s">
        <v>39</v>
      </c>
      <c r="G308" t="s">
        <v>15</v>
      </c>
      <c r="H308" t="s">
        <v>33</v>
      </c>
      <c r="I308">
        <v>158481.89000000001</v>
      </c>
      <c r="K308">
        <v>148868.81</v>
      </c>
      <c r="L308" t="str">
        <f t="shared" si="48"/>
        <v>Ankit</v>
      </c>
      <c r="M308" t="str">
        <f t="shared" si="49"/>
        <v>Unknown</v>
      </c>
      <c r="N308" t="str">
        <f t="shared" si="50"/>
        <v>Unknown</v>
      </c>
      <c r="O308" t="str">
        <f t="shared" si="51"/>
        <v>Enterprise</v>
      </c>
      <c r="P308" s="4" t="str">
        <f t="shared" si="52"/>
        <v>Partner</v>
      </c>
      <c r="Q308">
        <f t="shared" si="53"/>
        <v>0</v>
      </c>
      <c r="R308" s="6">
        <f t="shared" si="54"/>
        <v>158481.89000000001</v>
      </c>
      <c r="S308">
        <f t="shared" si="55"/>
        <v>1</v>
      </c>
      <c r="T308">
        <f t="shared" si="56"/>
        <v>1.064574171043619</v>
      </c>
      <c r="U308">
        <f t="shared" si="57"/>
        <v>9613.0800000000163</v>
      </c>
      <c r="V308" t="str">
        <f t="shared" si="58"/>
        <v>Profitable</v>
      </c>
      <c r="W308" t="str" cm="1">
        <f t="array" ref="W308">_xlfn.IFS(S308&lt;0,"Loss", S308&lt;0.15,"Low Margin",S308&lt;0.3,"Medium High", TRUE, "High Margin")</f>
        <v>High Margin</v>
      </c>
      <c r="X308" t="str">
        <f t="shared" si="59"/>
        <v>07-2024</v>
      </c>
    </row>
    <row r="309" spans="1:24" x14ac:dyDescent="0.3">
      <c r="A309">
        <v>10476</v>
      </c>
      <c r="B309" s="1">
        <v>45317</v>
      </c>
      <c r="C309" t="s">
        <v>45</v>
      </c>
      <c r="D309" t="s">
        <v>31</v>
      </c>
      <c r="E309" t="s">
        <v>44</v>
      </c>
      <c r="F309" t="s">
        <v>14</v>
      </c>
      <c r="G309" t="s">
        <v>20</v>
      </c>
      <c r="H309" t="s">
        <v>28</v>
      </c>
      <c r="I309">
        <v>62865.599999999999</v>
      </c>
      <c r="J309">
        <v>5239.95</v>
      </c>
      <c r="K309">
        <v>171481</v>
      </c>
      <c r="L309" t="str">
        <f t="shared" si="48"/>
        <v>Rahul</v>
      </c>
      <c r="M309" t="str">
        <f t="shared" si="49"/>
        <v>South</v>
      </c>
      <c r="N309" t="str">
        <f t="shared" si="50"/>
        <v>Pune</v>
      </c>
      <c r="O309" t="str">
        <f t="shared" si="51"/>
        <v>Enterprise</v>
      </c>
      <c r="P309" s="4" t="str">
        <f t="shared" si="52"/>
        <v>Direct</v>
      </c>
      <c r="Q309">
        <f t="shared" si="53"/>
        <v>5239.95</v>
      </c>
      <c r="R309" s="6">
        <f t="shared" si="54"/>
        <v>57625.65</v>
      </c>
      <c r="S309">
        <f t="shared" si="55"/>
        <v>0.91664837367336038</v>
      </c>
      <c r="T309">
        <f t="shared" si="56"/>
        <v>0.36660388031327085</v>
      </c>
      <c r="U309">
        <f t="shared" si="57"/>
        <v>-108615.4</v>
      </c>
      <c r="V309" t="str">
        <f t="shared" si="58"/>
        <v>Profitable</v>
      </c>
      <c r="W309" t="str" cm="1">
        <f t="array" ref="W309">_xlfn.IFS(S309&lt;0,"Loss", S309&lt;0.15,"Low Margin",S309&lt;0.3,"Medium High", TRUE, "High Margin")</f>
        <v>High Margin</v>
      </c>
      <c r="X309" t="str">
        <f t="shared" si="59"/>
        <v>01-2024</v>
      </c>
    </row>
    <row r="310" spans="1:24" x14ac:dyDescent="0.3">
      <c r="A310">
        <v>10537</v>
      </c>
      <c r="B310" s="1">
        <v>45464</v>
      </c>
      <c r="C310" t="s">
        <v>41</v>
      </c>
      <c r="D310" t="s">
        <v>17</v>
      </c>
      <c r="E310" t="s">
        <v>35</v>
      </c>
      <c r="F310" t="s">
        <v>14</v>
      </c>
      <c r="G310" t="s">
        <v>27</v>
      </c>
      <c r="H310" t="s">
        <v>33</v>
      </c>
      <c r="I310">
        <v>91091.24</v>
      </c>
      <c r="J310">
        <v>94155</v>
      </c>
      <c r="K310">
        <v>84033.96</v>
      </c>
      <c r="L310" t="str">
        <f t="shared" si="48"/>
        <v>Neha</v>
      </c>
      <c r="M310" t="str">
        <f t="shared" si="49"/>
        <v>West</v>
      </c>
      <c r="N310" t="str">
        <f t="shared" si="50"/>
        <v>Hyderabad</v>
      </c>
      <c r="O310" t="str">
        <f t="shared" si="51"/>
        <v>Enterprise</v>
      </c>
      <c r="P310" s="4" t="str">
        <f t="shared" si="52"/>
        <v>Partner</v>
      </c>
      <c r="Q310">
        <f t="shared" si="53"/>
        <v>94155</v>
      </c>
      <c r="R310" s="6">
        <f t="shared" si="54"/>
        <v>-3063.7599999999948</v>
      </c>
      <c r="S310">
        <f t="shared" si="55"/>
        <v>-3.3633969633084307E-2</v>
      </c>
      <c r="T310">
        <f t="shared" si="56"/>
        <v>1.0839812856611779</v>
      </c>
      <c r="U310">
        <f t="shared" si="57"/>
        <v>7057.2799999999988</v>
      </c>
      <c r="V310" t="str">
        <f t="shared" si="58"/>
        <v>Unprofitable</v>
      </c>
      <c r="W310" t="str" cm="1">
        <f t="array" ref="W310">_xlfn.IFS(S310&lt;0,"Loss", S310&lt;0.15,"Low Margin",S310&lt;0.3,"Medium High", TRUE, "High Margin")</f>
        <v>Loss</v>
      </c>
      <c r="X310" t="str">
        <f t="shared" si="59"/>
        <v>06-2024</v>
      </c>
    </row>
    <row r="311" spans="1:24" x14ac:dyDescent="0.3">
      <c r="A311">
        <v>10407</v>
      </c>
      <c r="B311" s="1">
        <v>45424</v>
      </c>
      <c r="D311" t="s">
        <v>31</v>
      </c>
      <c r="E311" t="s">
        <v>24</v>
      </c>
      <c r="F311" t="s">
        <v>19</v>
      </c>
      <c r="G311" t="s">
        <v>40</v>
      </c>
      <c r="H311" t="s">
        <v>28</v>
      </c>
      <c r="I311">
        <v>139605.23000000001</v>
      </c>
      <c r="J311">
        <v>74334.600000000006</v>
      </c>
      <c r="K311">
        <v>145327.67999999999</v>
      </c>
      <c r="L311" t="str">
        <f t="shared" si="48"/>
        <v>Unassigned</v>
      </c>
      <c r="M311" t="str">
        <f t="shared" si="49"/>
        <v>South</v>
      </c>
      <c r="N311" t="str">
        <f t="shared" si="50"/>
        <v>Chennai</v>
      </c>
      <c r="O311" t="str">
        <f t="shared" si="51"/>
        <v>Startup</v>
      </c>
      <c r="P311" s="4" t="str">
        <f t="shared" si="52"/>
        <v>Direct</v>
      </c>
      <c r="Q311">
        <f t="shared" si="53"/>
        <v>74334.600000000006</v>
      </c>
      <c r="R311" s="6">
        <f t="shared" si="54"/>
        <v>65270.630000000005</v>
      </c>
      <c r="S311">
        <f t="shared" si="55"/>
        <v>0.46753714026329818</v>
      </c>
      <c r="T311">
        <f t="shared" si="56"/>
        <v>0.96062381233912231</v>
      </c>
      <c r="U311">
        <f t="shared" si="57"/>
        <v>-5722.4499999999825</v>
      </c>
      <c r="V311" t="str">
        <f t="shared" si="58"/>
        <v>Profitable</v>
      </c>
      <c r="W311" t="str" cm="1">
        <f t="array" ref="W311">_xlfn.IFS(S311&lt;0,"Loss", S311&lt;0.15,"Low Margin",S311&lt;0.3,"Medium High", TRUE, "High Margin")</f>
        <v>High Margin</v>
      </c>
      <c r="X311" t="str">
        <f t="shared" si="59"/>
        <v>05-2024</v>
      </c>
    </row>
    <row r="312" spans="1:24" x14ac:dyDescent="0.3">
      <c r="A312">
        <v>10524</v>
      </c>
      <c r="B312" s="1">
        <v>45409</v>
      </c>
      <c r="D312" t="s">
        <v>37</v>
      </c>
      <c r="F312" t="s">
        <v>14</v>
      </c>
      <c r="G312" t="s">
        <v>15</v>
      </c>
      <c r="I312">
        <v>71831.58</v>
      </c>
      <c r="J312">
        <v>84857.83</v>
      </c>
      <c r="K312">
        <v>62548.55</v>
      </c>
      <c r="L312" t="str">
        <f t="shared" si="48"/>
        <v>Unassigned</v>
      </c>
      <c r="M312" t="str">
        <f t="shared" si="49"/>
        <v>North</v>
      </c>
      <c r="N312" t="str">
        <f t="shared" si="50"/>
        <v>Unknown</v>
      </c>
      <c r="O312" t="str">
        <f t="shared" si="51"/>
        <v>Enterprise</v>
      </c>
      <c r="P312" s="4" t="str">
        <f t="shared" si="52"/>
        <v>Unknown</v>
      </c>
      <c r="Q312">
        <f t="shared" si="53"/>
        <v>84857.83</v>
      </c>
      <c r="R312" s="6">
        <f t="shared" si="54"/>
        <v>-13026.25</v>
      </c>
      <c r="S312">
        <f t="shared" si="55"/>
        <v>-0.18134433350902207</v>
      </c>
      <c r="T312">
        <f t="shared" si="56"/>
        <v>1.1484131926319634</v>
      </c>
      <c r="U312">
        <f t="shared" si="57"/>
        <v>9283.0299999999988</v>
      </c>
      <c r="V312" t="str">
        <f t="shared" si="58"/>
        <v>Unprofitable</v>
      </c>
      <c r="W312" t="str" cm="1">
        <f t="array" ref="W312">_xlfn.IFS(S312&lt;0,"Loss", S312&lt;0.15,"Low Margin",S312&lt;0.3,"Medium High", TRUE, "High Margin")</f>
        <v>Loss</v>
      </c>
      <c r="X312" t="str">
        <f t="shared" si="59"/>
        <v>04-2024</v>
      </c>
    </row>
    <row r="313" spans="1:24" x14ac:dyDescent="0.3">
      <c r="A313">
        <v>10505</v>
      </c>
      <c r="B313" s="1">
        <v>45503</v>
      </c>
      <c r="C313" t="s">
        <v>36</v>
      </c>
      <c r="D313" t="s">
        <v>37</v>
      </c>
      <c r="F313" t="s">
        <v>19</v>
      </c>
      <c r="G313" t="s">
        <v>20</v>
      </c>
      <c r="H313" t="s">
        <v>16</v>
      </c>
      <c r="I313">
        <v>18864.45</v>
      </c>
      <c r="J313">
        <v>101064.13</v>
      </c>
      <c r="K313">
        <v>178453.17</v>
      </c>
      <c r="L313" t="str">
        <f t="shared" si="48"/>
        <v>Amit</v>
      </c>
      <c r="M313" t="str">
        <f t="shared" si="49"/>
        <v>North</v>
      </c>
      <c r="N313" t="str">
        <f t="shared" si="50"/>
        <v>Unknown</v>
      </c>
      <c r="O313" t="str">
        <f t="shared" si="51"/>
        <v>Startup</v>
      </c>
      <c r="P313" s="4" t="str">
        <f t="shared" si="52"/>
        <v>direct</v>
      </c>
      <c r="Q313">
        <f t="shared" si="53"/>
        <v>101064.13</v>
      </c>
      <c r="R313" s="6">
        <f t="shared" si="54"/>
        <v>-82199.680000000008</v>
      </c>
      <c r="S313">
        <f t="shared" si="55"/>
        <v>-4.3573854525310836</v>
      </c>
      <c r="T313">
        <f t="shared" si="56"/>
        <v>0.10571092684988448</v>
      </c>
      <c r="U313">
        <f t="shared" si="57"/>
        <v>-159588.72</v>
      </c>
      <c r="V313" t="str">
        <f t="shared" si="58"/>
        <v>Unprofitable</v>
      </c>
      <c r="W313" t="str" cm="1">
        <f t="array" ref="W313">_xlfn.IFS(S313&lt;0,"Loss", S313&lt;0.15,"Low Margin",S313&lt;0.3,"Medium High", TRUE, "High Margin")</f>
        <v>Loss</v>
      </c>
      <c r="X313" t="str">
        <f t="shared" si="59"/>
        <v>07-2024</v>
      </c>
    </row>
    <row r="314" spans="1:24" x14ac:dyDescent="0.3">
      <c r="A314">
        <v>10035</v>
      </c>
      <c r="B314" s="1">
        <v>45516</v>
      </c>
      <c r="C314" t="s">
        <v>45</v>
      </c>
      <c r="D314" t="s">
        <v>17</v>
      </c>
      <c r="E314" t="s">
        <v>24</v>
      </c>
      <c r="F314" t="s">
        <v>39</v>
      </c>
      <c r="G314" t="s">
        <v>43</v>
      </c>
      <c r="H314" t="s">
        <v>28</v>
      </c>
      <c r="I314">
        <v>79792.84</v>
      </c>
      <c r="J314">
        <v>96928.88</v>
      </c>
      <c r="K314">
        <v>24123.14</v>
      </c>
      <c r="L314" t="str">
        <f t="shared" si="48"/>
        <v>Rahul</v>
      </c>
      <c r="M314" t="str">
        <f t="shared" si="49"/>
        <v>West</v>
      </c>
      <c r="N314" t="str">
        <f t="shared" si="50"/>
        <v>Chennai</v>
      </c>
      <c r="O314" t="str">
        <f t="shared" si="51"/>
        <v>Enterprise</v>
      </c>
      <c r="P314" s="4" t="str">
        <f t="shared" si="52"/>
        <v>Direct</v>
      </c>
      <c r="Q314">
        <f t="shared" si="53"/>
        <v>96928.88</v>
      </c>
      <c r="R314" s="6">
        <f t="shared" si="54"/>
        <v>-17136.040000000008</v>
      </c>
      <c r="S314">
        <f t="shared" si="55"/>
        <v>-0.2147566122474148</v>
      </c>
      <c r="T314">
        <f t="shared" si="56"/>
        <v>3.3077302540216573</v>
      </c>
      <c r="U314">
        <f t="shared" si="57"/>
        <v>55669.7</v>
      </c>
      <c r="V314" t="str">
        <f t="shared" si="58"/>
        <v>Unprofitable</v>
      </c>
      <c r="W314" t="str" cm="1">
        <f t="array" ref="W314">_xlfn.IFS(S314&lt;0,"Loss", S314&lt;0.15,"Low Margin",S314&lt;0.3,"Medium High", TRUE, "High Margin")</f>
        <v>Loss</v>
      </c>
      <c r="X314" t="str">
        <f t="shared" si="59"/>
        <v>08-2024</v>
      </c>
    </row>
    <row r="315" spans="1:24" x14ac:dyDescent="0.3">
      <c r="A315">
        <v>10019</v>
      </c>
      <c r="B315" s="1">
        <v>45311</v>
      </c>
      <c r="C315" t="s">
        <v>11</v>
      </c>
      <c r="D315" t="s">
        <v>17</v>
      </c>
      <c r="E315" t="s">
        <v>18</v>
      </c>
      <c r="F315" t="s">
        <v>32</v>
      </c>
      <c r="G315" t="s">
        <v>43</v>
      </c>
      <c r="I315">
        <v>189334.13</v>
      </c>
      <c r="J315">
        <v>115427.66</v>
      </c>
      <c r="K315">
        <v>116564.61</v>
      </c>
      <c r="L315" t="str">
        <f t="shared" si="48"/>
        <v>Rahul</v>
      </c>
      <c r="M315" t="str">
        <f t="shared" si="49"/>
        <v>West</v>
      </c>
      <c r="N315" t="str">
        <f t="shared" si="50"/>
        <v>Bengaluru</v>
      </c>
      <c r="O315" t="str">
        <f t="shared" si="51"/>
        <v>Smb</v>
      </c>
      <c r="P315" s="4" t="str">
        <f t="shared" si="52"/>
        <v>Unknown</v>
      </c>
      <c r="Q315">
        <f t="shared" si="53"/>
        <v>115427.66</v>
      </c>
      <c r="R315" s="6">
        <f t="shared" si="54"/>
        <v>73906.47</v>
      </c>
      <c r="S315">
        <f t="shared" si="55"/>
        <v>0.39034943145221623</v>
      </c>
      <c r="T315">
        <f t="shared" si="56"/>
        <v>1.6242848494066939</v>
      </c>
      <c r="U315">
        <f t="shared" si="57"/>
        <v>72769.52</v>
      </c>
      <c r="V315" t="str">
        <f t="shared" si="58"/>
        <v>Profitable</v>
      </c>
      <c r="W315" t="str" cm="1">
        <f t="array" ref="W315">_xlfn.IFS(S315&lt;0,"Loss", S315&lt;0.15,"Low Margin",S315&lt;0.3,"Medium High", TRUE, "High Margin")</f>
        <v>High Margin</v>
      </c>
      <c r="X315" t="str">
        <f t="shared" si="59"/>
        <v>01-2024</v>
      </c>
    </row>
    <row r="316" spans="1:24" x14ac:dyDescent="0.3">
      <c r="A316">
        <v>10320</v>
      </c>
      <c r="B316" s="1">
        <v>45404</v>
      </c>
      <c r="C316" t="s">
        <v>29</v>
      </c>
      <c r="E316" t="s">
        <v>18</v>
      </c>
      <c r="G316" t="s">
        <v>40</v>
      </c>
      <c r="H316" t="s">
        <v>16</v>
      </c>
      <c r="I316">
        <v>131213</v>
      </c>
      <c r="K316">
        <v>125520.96000000001</v>
      </c>
      <c r="L316" t="str">
        <f t="shared" si="48"/>
        <v>Sneha</v>
      </c>
      <c r="M316" t="str">
        <f t="shared" si="49"/>
        <v>Unknown</v>
      </c>
      <c r="N316" t="str">
        <f t="shared" si="50"/>
        <v>Bengaluru</v>
      </c>
      <c r="O316" t="str">
        <f t="shared" si="51"/>
        <v>Unknown</v>
      </c>
      <c r="P316" s="4" t="str">
        <f t="shared" si="52"/>
        <v>direct</v>
      </c>
      <c r="Q316">
        <f t="shared" si="53"/>
        <v>0</v>
      </c>
      <c r="R316" s="6">
        <f t="shared" si="54"/>
        <v>131213</v>
      </c>
      <c r="S316">
        <f t="shared" si="55"/>
        <v>1</v>
      </c>
      <c r="T316">
        <f t="shared" si="56"/>
        <v>1.0453473268528219</v>
      </c>
      <c r="U316">
        <f t="shared" si="57"/>
        <v>5692.0399999999936</v>
      </c>
      <c r="V316" t="str">
        <f t="shared" si="58"/>
        <v>Profitable</v>
      </c>
      <c r="W316" t="str" cm="1">
        <f t="array" ref="W316">_xlfn.IFS(S316&lt;0,"Loss", S316&lt;0.15,"Low Margin",S316&lt;0.3,"Medium High", TRUE, "High Margin")</f>
        <v>High Margin</v>
      </c>
      <c r="X316" t="str">
        <f t="shared" si="59"/>
        <v>04-2024</v>
      </c>
    </row>
    <row r="317" spans="1:24" x14ac:dyDescent="0.3">
      <c r="A317">
        <v>10511</v>
      </c>
      <c r="B317" s="1">
        <v>45431</v>
      </c>
      <c r="C317" t="s">
        <v>30</v>
      </c>
      <c r="E317" t="s">
        <v>44</v>
      </c>
      <c r="F317" t="s">
        <v>39</v>
      </c>
      <c r="G317" t="s">
        <v>42</v>
      </c>
      <c r="H317" t="s">
        <v>21</v>
      </c>
      <c r="I317">
        <v>136924</v>
      </c>
      <c r="J317">
        <v>60153.99</v>
      </c>
      <c r="K317">
        <v>130087.29</v>
      </c>
      <c r="L317" t="str">
        <f t="shared" si="48"/>
        <v>Ankit</v>
      </c>
      <c r="M317" t="str">
        <f t="shared" si="49"/>
        <v>Unknown</v>
      </c>
      <c r="N317" t="str">
        <f t="shared" si="50"/>
        <v>Pune</v>
      </c>
      <c r="O317" t="str">
        <f t="shared" si="51"/>
        <v>Enterprise</v>
      </c>
      <c r="P317" s="4" t="str">
        <f t="shared" si="52"/>
        <v>Online</v>
      </c>
      <c r="Q317">
        <f t="shared" si="53"/>
        <v>60153.99</v>
      </c>
      <c r="R317" s="6">
        <f t="shared" si="54"/>
        <v>76770.010000000009</v>
      </c>
      <c r="S317">
        <f t="shared" si="55"/>
        <v>0.56067606847594298</v>
      </c>
      <c r="T317">
        <f t="shared" si="56"/>
        <v>1.0525547884040016</v>
      </c>
      <c r="U317">
        <f t="shared" si="57"/>
        <v>6836.7100000000064</v>
      </c>
      <c r="V317" t="str">
        <f t="shared" si="58"/>
        <v>Profitable</v>
      </c>
      <c r="W317" t="str" cm="1">
        <f t="array" ref="W317">_xlfn.IFS(S317&lt;0,"Loss", S317&lt;0.15,"Low Margin",S317&lt;0.3,"Medium High", TRUE, "High Margin")</f>
        <v>High Margin</v>
      </c>
      <c r="X317" t="str">
        <f t="shared" si="59"/>
        <v>05-2024</v>
      </c>
    </row>
    <row r="318" spans="1:24" x14ac:dyDescent="0.3">
      <c r="A318">
        <v>10399</v>
      </c>
      <c r="B318" s="1">
        <v>45338</v>
      </c>
      <c r="C318" t="s">
        <v>30</v>
      </c>
      <c r="D318" t="s">
        <v>23</v>
      </c>
      <c r="E318" t="s">
        <v>35</v>
      </c>
      <c r="F318" t="s">
        <v>14</v>
      </c>
      <c r="G318" t="s">
        <v>42</v>
      </c>
      <c r="H318" t="s">
        <v>28</v>
      </c>
      <c r="I318">
        <v>129398.17</v>
      </c>
      <c r="J318">
        <v>50020.800000000003</v>
      </c>
      <c r="K318">
        <v>39262.01</v>
      </c>
      <c r="L318" t="str">
        <f t="shared" si="48"/>
        <v>Ankit</v>
      </c>
      <c r="M318" t="str">
        <f t="shared" si="49"/>
        <v>West</v>
      </c>
      <c r="N318" t="str">
        <f t="shared" si="50"/>
        <v>Hyderabad</v>
      </c>
      <c r="O318" t="str">
        <f t="shared" si="51"/>
        <v>Enterprise</v>
      </c>
      <c r="P318" s="4" t="str">
        <f t="shared" si="52"/>
        <v>Direct</v>
      </c>
      <c r="Q318">
        <f t="shared" si="53"/>
        <v>50020.800000000003</v>
      </c>
      <c r="R318" s="6">
        <f t="shared" si="54"/>
        <v>79377.37</v>
      </c>
      <c r="S318">
        <f t="shared" si="55"/>
        <v>0.61343502771329761</v>
      </c>
      <c r="T318">
        <f t="shared" si="56"/>
        <v>3.2957602017828429</v>
      </c>
      <c r="U318">
        <f t="shared" si="57"/>
        <v>90136.16</v>
      </c>
      <c r="V318" t="str">
        <f t="shared" si="58"/>
        <v>Profitable</v>
      </c>
      <c r="W318" t="str" cm="1">
        <f t="array" ref="W318">_xlfn.IFS(S318&lt;0,"Loss", S318&lt;0.15,"Low Margin",S318&lt;0.3,"Medium High", TRUE, "High Margin")</f>
        <v>High Margin</v>
      </c>
      <c r="X318" t="str">
        <f t="shared" si="59"/>
        <v>02-2024</v>
      </c>
    </row>
    <row r="319" spans="1:24" x14ac:dyDescent="0.3">
      <c r="A319">
        <v>10470</v>
      </c>
      <c r="B319" s="1">
        <v>45292</v>
      </c>
      <c r="C319" t="s">
        <v>29</v>
      </c>
      <c r="D319" t="s">
        <v>17</v>
      </c>
      <c r="E319" t="s">
        <v>24</v>
      </c>
      <c r="G319" t="s">
        <v>15</v>
      </c>
      <c r="H319" t="s">
        <v>28</v>
      </c>
      <c r="I319">
        <v>46206.49</v>
      </c>
      <c r="J319">
        <v>20981.85</v>
      </c>
      <c r="K319">
        <v>170164.77</v>
      </c>
      <c r="L319" t="str">
        <f t="shared" si="48"/>
        <v>Sneha</v>
      </c>
      <c r="M319" t="str">
        <f t="shared" si="49"/>
        <v>West</v>
      </c>
      <c r="N319" t="str">
        <f t="shared" si="50"/>
        <v>Chennai</v>
      </c>
      <c r="O319" t="str">
        <f t="shared" si="51"/>
        <v>Unknown</v>
      </c>
      <c r="P319" s="4" t="str">
        <f t="shared" si="52"/>
        <v>Direct</v>
      </c>
      <c r="Q319">
        <f t="shared" si="53"/>
        <v>20981.85</v>
      </c>
      <c r="R319" s="6">
        <f t="shared" si="54"/>
        <v>25224.639999999999</v>
      </c>
      <c r="S319">
        <f t="shared" si="55"/>
        <v>0.54591119126339183</v>
      </c>
      <c r="T319">
        <f t="shared" si="56"/>
        <v>0.27153969649534387</v>
      </c>
      <c r="U319">
        <f t="shared" si="57"/>
        <v>-123958.28</v>
      </c>
      <c r="V319" t="str">
        <f t="shared" si="58"/>
        <v>Profitable</v>
      </c>
      <c r="W319" t="str" cm="1">
        <f t="array" ref="W319">_xlfn.IFS(S319&lt;0,"Loss", S319&lt;0.15,"Low Margin",S319&lt;0.3,"Medium High", TRUE, "High Margin")</f>
        <v>High Margin</v>
      </c>
      <c r="X319" t="str">
        <f t="shared" si="59"/>
        <v>01-2024</v>
      </c>
    </row>
    <row r="320" spans="1:24" x14ac:dyDescent="0.3">
      <c r="A320">
        <v>10142</v>
      </c>
      <c r="B320" s="1">
        <v>45381</v>
      </c>
      <c r="C320" t="s">
        <v>22</v>
      </c>
      <c r="D320" t="s">
        <v>34</v>
      </c>
      <c r="E320" t="s">
        <v>44</v>
      </c>
      <c r="F320" t="s">
        <v>32</v>
      </c>
      <c r="G320" t="s">
        <v>15</v>
      </c>
      <c r="H320" t="s">
        <v>21</v>
      </c>
      <c r="I320">
        <v>88320.1</v>
      </c>
      <c r="J320">
        <v>69995.05</v>
      </c>
      <c r="K320">
        <v>48989.32</v>
      </c>
      <c r="L320" t="str">
        <f t="shared" si="48"/>
        <v>Amit</v>
      </c>
      <c r="M320" t="str">
        <f t="shared" si="49"/>
        <v>East</v>
      </c>
      <c r="N320" t="str">
        <f t="shared" si="50"/>
        <v>Pune</v>
      </c>
      <c r="O320" t="str">
        <f t="shared" si="51"/>
        <v>Smb</v>
      </c>
      <c r="P320" s="4" t="str">
        <f t="shared" si="52"/>
        <v>Online</v>
      </c>
      <c r="Q320">
        <f t="shared" si="53"/>
        <v>69995.05</v>
      </c>
      <c r="R320" s="6">
        <f t="shared" si="54"/>
        <v>18325.050000000003</v>
      </c>
      <c r="S320">
        <f t="shared" si="55"/>
        <v>0.20748447975036263</v>
      </c>
      <c r="T320">
        <f t="shared" si="56"/>
        <v>1.8028439668074594</v>
      </c>
      <c r="U320">
        <f t="shared" si="57"/>
        <v>39330.780000000006</v>
      </c>
      <c r="V320" t="str">
        <f t="shared" si="58"/>
        <v>Profitable</v>
      </c>
      <c r="W320" t="str" cm="1">
        <f t="array" ref="W320">_xlfn.IFS(S320&lt;0,"Loss", S320&lt;0.15,"Low Margin",S320&lt;0.3,"Medium High", TRUE, "High Margin")</f>
        <v>Medium High</v>
      </c>
      <c r="X320" t="str">
        <f t="shared" si="59"/>
        <v>03-2024</v>
      </c>
    </row>
    <row r="321" spans="1:24" x14ac:dyDescent="0.3">
      <c r="A321">
        <v>10091</v>
      </c>
      <c r="B321" s="1">
        <v>45433</v>
      </c>
      <c r="C321" t="s">
        <v>36</v>
      </c>
      <c r="D321" t="s">
        <v>31</v>
      </c>
      <c r="E321" t="s">
        <v>44</v>
      </c>
      <c r="F321" t="s">
        <v>32</v>
      </c>
      <c r="G321" t="s">
        <v>15</v>
      </c>
      <c r="H321" t="s">
        <v>21</v>
      </c>
      <c r="I321">
        <v>152180.44</v>
      </c>
      <c r="J321">
        <v>35410.47</v>
      </c>
      <c r="K321">
        <v>119640.54</v>
      </c>
      <c r="L321" t="str">
        <f t="shared" si="48"/>
        <v>Amit</v>
      </c>
      <c r="M321" t="str">
        <f t="shared" si="49"/>
        <v>South</v>
      </c>
      <c r="N321" t="str">
        <f t="shared" si="50"/>
        <v>Pune</v>
      </c>
      <c r="O321" t="str">
        <f t="shared" si="51"/>
        <v>Smb</v>
      </c>
      <c r="P321" s="4" t="str">
        <f t="shared" si="52"/>
        <v>Online</v>
      </c>
      <c r="Q321">
        <f t="shared" si="53"/>
        <v>35410.47</v>
      </c>
      <c r="R321" s="6">
        <f t="shared" si="54"/>
        <v>116769.97</v>
      </c>
      <c r="S321">
        <f t="shared" si="55"/>
        <v>0.76731260600902451</v>
      </c>
      <c r="T321">
        <f t="shared" si="56"/>
        <v>1.2719805510740758</v>
      </c>
      <c r="U321">
        <f t="shared" si="57"/>
        <v>32539.900000000009</v>
      </c>
      <c r="V321" t="str">
        <f t="shared" si="58"/>
        <v>Profitable</v>
      </c>
      <c r="W321" t="str" cm="1">
        <f t="array" ref="W321">_xlfn.IFS(S321&lt;0,"Loss", S321&lt;0.15,"Low Margin",S321&lt;0.3,"Medium High", TRUE, "High Margin")</f>
        <v>High Margin</v>
      </c>
      <c r="X321" t="str">
        <f t="shared" si="59"/>
        <v>05-2024</v>
      </c>
    </row>
    <row r="322" spans="1:24" x14ac:dyDescent="0.3">
      <c r="A322">
        <v>10353</v>
      </c>
      <c r="B322" s="1">
        <v>45329</v>
      </c>
      <c r="D322" t="s">
        <v>17</v>
      </c>
      <c r="E322" t="s">
        <v>26</v>
      </c>
      <c r="F322" t="s">
        <v>19</v>
      </c>
      <c r="G322" t="s">
        <v>42</v>
      </c>
      <c r="H322" t="s">
        <v>28</v>
      </c>
      <c r="I322">
        <v>27463.599999999999</v>
      </c>
      <c r="J322">
        <v>110792.98</v>
      </c>
      <c r="K322">
        <v>55628.17</v>
      </c>
      <c r="L322" t="str">
        <f t="shared" si="48"/>
        <v>Unassigned</v>
      </c>
      <c r="M322" t="str">
        <f t="shared" si="49"/>
        <v>West</v>
      </c>
      <c r="N322" t="str">
        <f t="shared" si="50"/>
        <v>Mumbai</v>
      </c>
      <c r="O322" t="str">
        <f t="shared" si="51"/>
        <v>Startup</v>
      </c>
      <c r="P322" s="4" t="str">
        <f t="shared" si="52"/>
        <v>Direct</v>
      </c>
      <c r="Q322">
        <f t="shared" si="53"/>
        <v>110792.98</v>
      </c>
      <c r="R322" s="6">
        <f t="shared" si="54"/>
        <v>-83329.38</v>
      </c>
      <c r="S322">
        <f t="shared" si="55"/>
        <v>-3.0341754176437177</v>
      </c>
      <c r="T322">
        <f t="shared" si="56"/>
        <v>0.49369950512483152</v>
      </c>
      <c r="U322">
        <f t="shared" si="57"/>
        <v>-28164.57</v>
      </c>
      <c r="V322" t="str">
        <f t="shared" si="58"/>
        <v>Unprofitable</v>
      </c>
      <c r="W322" t="str" cm="1">
        <f t="array" ref="W322">_xlfn.IFS(S322&lt;0,"Loss", S322&lt;0.15,"Low Margin",S322&lt;0.3,"Medium High", TRUE, "High Margin")</f>
        <v>Loss</v>
      </c>
      <c r="X322" t="str">
        <f t="shared" si="59"/>
        <v>02-2024</v>
      </c>
    </row>
    <row r="323" spans="1:24" x14ac:dyDescent="0.3">
      <c r="A323">
        <v>10050</v>
      </c>
      <c r="B323" s="1">
        <v>45430</v>
      </c>
      <c r="C323" t="s">
        <v>45</v>
      </c>
      <c r="D323" t="s">
        <v>12</v>
      </c>
      <c r="G323" t="s">
        <v>43</v>
      </c>
      <c r="H323" t="s">
        <v>21</v>
      </c>
      <c r="I323">
        <v>61347.73</v>
      </c>
      <c r="J323">
        <v>71233.320000000007</v>
      </c>
      <c r="K323">
        <v>69154.63</v>
      </c>
      <c r="L323" t="str">
        <f t="shared" ref="L323:L386" si="60">IF(TRIM(C323)="","Unassigned", PROPER(TRIM(C323)))</f>
        <v>Rahul</v>
      </c>
      <c r="M323" t="str">
        <f t="shared" ref="M323:M386" si="61">IF(TRIM(D323)="","Unknown",PROPER(TRIM(D323)))</f>
        <v>South</v>
      </c>
      <c r="N323" t="str">
        <f t="shared" ref="N323:N386" si="62">IF(TRIM(E323)="","Unknown", PROPER(TRIM(E323)))</f>
        <v>Unknown</v>
      </c>
      <c r="O323" t="str">
        <f t="shared" ref="O323:O386" si="63">IF(TRIM(F323)="","Unknown",PROPER(TRIM(F323)))</f>
        <v>Unknown</v>
      </c>
      <c r="P323" s="4" t="str">
        <f t="shared" ref="P323:P386" si="64">IF(TRIM(H323)="","Unknown",TRIM(H323))</f>
        <v>Online</v>
      </c>
      <c r="Q323">
        <f t="shared" ref="Q323:Q386" si="65">IFERROR(J323,0)</f>
        <v>71233.320000000007</v>
      </c>
      <c r="R323" s="6">
        <f t="shared" ref="R323:R386" si="66">I323-Q323</f>
        <v>-9885.5900000000038</v>
      </c>
      <c r="S323">
        <f t="shared" ref="S323:S386" si="67">IFERROR(R323/I323,0)</f>
        <v>-0.16114027364989714</v>
      </c>
      <c r="T323">
        <f t="shared" ref="T323:T386" si="68">IFERROR(I323/K323,0)</f>
        <v>0.88710951096116053</v>
      </c>
      <c r="U323">
        <f t="shared" ref="U323:U386" si="69">I323-K323</f>
        <v>-7806.9000000000015</v>
      </c>
      <c r="V323" t="str">
        <f t="shared" ref="V323:V386" si="70">IF(R323&lt;0,"Unprofitable","Profitable")</f>
        <v>Unprofitable</v>
      </c>
      <c r="W323" t="str" cm="1">
        <f t="array" ref="W323">_xlfn.IFS(S323&lt;0,"Loss", S323&lt;0.15,"Low Margin",S323&lt;0.3,"Medium High", TRUE, "High Margin")</f>
        <v>Loss</v>
      </c>
      <c r="X323" t="str">
        <f t="shared" ref="X323:X386" si="71">TEXT(B323,"MM-YYYY")</f>
        <v>05-2024</v>
      </c>
    </row>
    <row r="324" spans="1:24" x14ac:dyDescent="0.3">
      <c r="A324">
        <v>10574</v>
      </c>
      <c r="B324" s="1">
        <v>45550</v>
      </c>
      <c r="C324" t="s">
        <v>25</v>
      </c>
      <c r="D324" t="s">
        <v>23</v>
      </c>
      <c r="E324" t="s">
        <v>13</v>
      </c>
      <c r="F324" t="s">
        <v>19</v>
      </c>
      <c r="G324" t="s">
        <v>42</v>
      </c>
      <c r="H324" t="s">
        <v>33</v>
      </c>
      <c r="I324">
        <v>61053.27</v>
      </c>
      <c r="J324">
        <v>72362.3</v>
      </c>
      <c r="K324">
        <v>107433.37</v>
      </c>
      <c r="L324" t="str">
        <f t="shared" si="60"/>
        <v>Priya</v>
      </c>
      <c r="M324" t="str">
        <f t="shared" si="61"/>
        <v>West</v>
      </c>
      <c r="N324" t="str">
        <f t="shared" si="62"/>
        <v>Bengaluru</v>
      </c>
      <c r="O324" t="str">
        <f t="shared" si="63"/>
        <v>Startup</v>
      </c>
      <c r="P324" s="4" t="str">
        <f t="shared" si="64"/>
        <v>Partner</v>
      </c>
      <c r="Q324">
        <f t="shared" si="65"/>
        <v>72362.3</v>
      </c>
      <c r="R324" s="6">
        <f t="shared" si="66"/>
        <v>-11309.030000000006</v>
      </c>
      <c r="S324">
        <f t="shared" si="67"/>
        <v>-0.1852321751152724</v>
      </c>
      <c r="T324">
        <f t="shared" si="68"/>
        <v>0.56828962919063231</v>
      </c>
      <c r="U324">
        <f t="shared" si="69"/>
        <v>-46380.1</v>
      </c>
      <c r="V324" t="str">
        <f t="shared" si="70"/>
        <v>Unprofitable</v>
      </c>
      <c r="W324" t="str" cm="1">
        <f t="array" ref="W324">_xlfn.IFS(S324&lt;0,"Loss", S324&lt;0.15,"Low Margin",S324&lt;0.3,"Medium High", TRUE, "High Margin")</f>
        <v>Loss</v>
      </c>
      <c r="X324" t="str">
        <f t="shared" si="71"/>
        <v>09-2024</v>
      </c>
    </row>
    <row r="325" spans="1:24" x14ac:dyDescent="0.3">
      <c r="A325">
        <v>10189</v>
      </c>
      <c r="B325" s="1">
        <v>45452</v>
      </c>
      <c r="C325" t="s">
        <v>36</v>
      </c>
      <c r="D325" t="s">
        <v>12</v>
      </c>
      <c r="F325" t="s">
        <v>39</v>
      </c>
      <c r="G325" t="s">
        <v>27</v>
      </c>
      <c r="H325" t="s">
        <v>16</v>
      </c>
      <c r="I325">
        <v>90947.63</v>
      </c>
      <c r="J325">
        <v>44526.19</v>
      </c>
      <c r="K325">
        <v>86750.95</v>
      </c>
      <c r="L325" t="str">
        <f t="shared" si="60"/>
        <v>Amit</v>
      </c>
      <c r="M325" t="str">
        <f t="shared" si="61"/>
        <v>South</v>
      </c>
      <c r="N325" t="str">
        <f t="shared" si="62"/>
        <v>Unknown</v>
      </c>
      <c r="O325" t="str">
        <f t="shared" si="63"/>
        <v>Enterprise</v>
      </c>
      <c r="P325" s="4" t="str">
        <f t="shared" si="64"/>
        <v>direct</v>
      </c>
      <c r="Q325">
        <f t="shared" si="65"/>
        <v>44526.19</v>
      </c>
      <c r="R325" s="6">
        <f t="shared" si="66"/>
        <v>46421.440000000002</v>
      </c>
      <c r="S325">
        <f t="shared" si="67"/>
        <v>0.51041945787922127</v>
      </c>
      <c r="T325">
        <f t="shared" si="68"/>
        <v>1.0483761849293871</v>
      </c>
      <c r="U325">
        <f t="shared" si="69"/>
        <v>4196.6800000000076</v>
      </c>
      <c r="V325" t="str">
        <f t="shared" si="70"/>
        <v>Profitable</v>
      </c>
      <c r="W325" t="str" cm="1">
        <f t="array" ref="W325">_xlfn.IFS(S325&lt;0,"Loss", S325&lt;0.15,"Low Margin",S325&lt;0.3,"Medium High", TRUE, "High Margin")</f>
        <v>High Margin</v>
      </c>
      <c r="X325" t="str">
        <f t="shared" si="71"/>
        <v>06-2024</v>
      </c>
    </row>
    <row r="326" spans="1:24" x14ac:dyDescent="0.3">
      <c r="A326">
        <v>10124</v>
      </c>
      <c r="B326" s="1">
        <v>45469</v>
      </c>
      <c r="C326" t="s">
        <v>45</v>
      </c>
      <c r="D326" t="s">
        <v>37</v>
      </c>
      <c r="E326" t="s">
        <v>18</v>
      </c>
      <c r="G326" t="s">
        <v>20</v>
      </c>
      <c r="H326" t="s">
        <v>16</v>
      </c>
      <c r="I326">
        <v>196230.8</v>
      </c>
      <c r="J326">
        <v>9082.75</v>
      </c>
      <c r="K326">
        <v>45636.1</v>
      </c>
      <c r="L326" t="str">
        <f t="shared" si="60"/>
        <v>Rahul</v>
      </c>
      <c r="M326" t="str">
        <f t="shared" si="61"/>
        <v>North</v>
      </c>
      <c r="N326" t="str">
        <f t="shared" si="62"/>
        <v>Bengaluru</v>
      </c>
      <c r="O326" t="str">
        <f t="shared" si="63"/>
        <v>Unknown</v>
      </c>
      <c r="P326" s="4" t="str">
        <f t="shared" si="64"/>
        <v>direct</v>
      </c>
      <c r="Q326">
        <f t="shared" si="65"/>
        <v>9082.75</v>
      </c>
      <c r="R326" s="6">
        <f t="shared" si="66"/>
        <v>187148.05</v>
      </c>
      <c r="S326">
        <f t="shared" si="67"/>
        <v>0.95371394296919754</v>
      </c>
      <c r="T326">
        <f t="shared" si="68"/>
        <v>4.2999029277260767</v>
      </c>
      <c r="U326">
        <f t="shared" si="69"/>
        <v>150594.69999999998</v>
      </c>
      <c r="V326" t="str">
        <f t="shared" si="70"/>
        <v>Profitable</v>
      </c>
      <c r="W326" t="str" cm="1">
        <f t="array" ref="W326">_xlfn.IFS(S326&lt;0,"Loss", S326&lt;0.15,"Low Margin",S326&lt;0.3,"Medium High", TRUE, "High Margin")</f>
        <v>High Margin</v>
      </c>
      <c r="X326" t="str">
        <f t="shared" si="71"/>
        <v>06-2024</v>
      </c>
    </row>
    <row r="327" spans="1:24" x14ac:dyDescent="0.3">
      <c r="A327">
        <v>10149</v>
      </c>
      <c r="B327" s="1">
        <v>45301</v>
      </c>
      <c r="C327" t="s">
        <v>41</v>
      </c>
      <c r="E327" t="s">
        <v>35</v>
      </c>
      <c r="F327" t="s">
        <v>39</v>
      </c>
      <c r="G327" t="s">
        <v>15</v>
      </c>
      <c r="H327" t="s">
        <v>16</v>
      </c>
      <c r="I327">
        <v>20960.490000000002</v>
      </c>
      <c r="J327">
        <v>6714.02</v>
      </c>
      <c r="K327">
        <v>47349.82</v>
      </c>
      <c r="L327" t="str">
        <f t="shared" si="60"/>
        <v>Neha</v>
      </c>
      <c r="M327" t="str">
        <f t="shared" si="61"/>
        <v>Unknown</v>
      </c>
      <c r="N327" t="str">
        <f t="shared" si="62"/>
        <v>Hyderabad</v>
      </c>
      <c r="O327" t="str">
        <f t="shared" si="63"/>
        <v>Enterprise</v>
      </c>
      <c r="P327" s="4" t="str">
        <f t="shared" si="64"/>
        <v>direct</v>
      </c>
      <c r="Q327">
        <f t="shared" si="65"/>
        <v>6714.02</v>
      </c>
      <c r="R327" s="6">
        <f t="shared" si="66"/>
        <v>14246.470000000001</v>
      </c>
      <c r="S327">
        <f t="shared" si="67"/>
        <v>0.67968210666830786</v>
      </c>
      <c r="T327">
        <f t="shared" si="68"/>
        <v>0.44267306612781215</v>
      </c>
      <c r="U327">
        <f t="shared" si="69"/>
        <v>-26389.329999999998</v>
      </c>
      <c r="V327" t="str">
        <f t="shared" si="70"/>
        <v>Profitable</v>
      </c>
      <c r="W327" t="str" cm="1">
        <f t="array" ref="W327">_xlfn.IFS(S327&lt;0,"Loss", S327&lt;0.15,"Low Margin",S327&lt;0.3,"Medium High", TRUE, "High Margin")</f>
        <v>High Margin</v>
      </c>
      <c r="X327" t="str">
        <f t="shared" si="71"/>
        <v>01-2024</v>
      </c>
    </row>
    <row r="328" spans="1:24" x14ac:dyDescent="0.3">
      <c r="A328">
        <v>10313</v>
      </c>
      <c r="B328" s="1">
        <v>45552</v>
      </c>
      <c r="C328" t="s">
        <v>41</v>
      </c>
      <c r="D328" t="s">
        <v>31</v>
      </c>
      <c r="F328" t="s">
        <v>19</v>
      </c>
      <c r="G328" t="s">
        <v>43</v>
      </c>
      <c r="H328" t="s">
        <v>33</v>
      </c>
      <c r="I328">
        <v>107590.59</v>
      </c>
      <c r="K328">
        <v>86903.17</v>
      </c>
      <c r="L328" t="str">
        <f t="shared" si="60"/>
        <v>Neha</v>
      </c>
      <c r="M328" t="str">
        <f t="shared" si="61"/>
        <v>South</v>
      </c>
      <c r="N328" t="str">
        <f t="shared" si="62"/>
        <v>Unknown</v>
      </c>
      <c r="O328" t="str">
        <f t="shared" si="63"/>
        <v>Startup</v>
      </c>
      <c r="P328" s="4" t="str">
        <f t="shared" si="64"/>
        <v>Partner</v>
      </c>
      <c r="Q328">
        <f t="shared" si="65"/>
        <v>0</v>
      </c>
      <c r="R328" s="6">
        <f t="shared" si="66"/>
        <v>107590.59</v>
      </c>
      <c r="S328">
        <f t="shared" si="67"/>
        <v>1</v>
      </c>
      <c r="T328">
        <f t="shared" si="68"/>
        <v>1.2380513852371553</v>
      </c>
      <c r="U328">
        <f t="shared" si="69"/>
        <v>20687.419999999998</v>
      </c>
      <c r="V328" t="str">
        <f t="shared" si="70"/>
        <v>Profitable</v>
      </c>
      <c r="W328" t="str" cm="1">
        <f t="array" ref="W328">_xlfn.IFS(S328&lt;0,"Loss", S328&lt;0.15,"Low Margin",S328&lt;0.3,"Medium High", TRUE, "High Margin")</f>
        <v>High Margin</v>
      </c>
      <c r="X328" t="str">
        <f t="shared" si="71"/>
        <v>09-2024</v>
      </c>
    </row>
    <row r="329" spans="1:24" x14ac:dyDescent="0.3">
      <c r="A329">
        <v>10569</v>
      </c>
      <c r="B329" s="1">
        <v>45429</v>
      </c>
      <c r="C329" t="s">
        <v>36</v>
      </c>
      <c r="D329" t="s">
        <v>17</v>
      </c>
      <c r="E329" t="s">
        <v>24</v>
      </c>
      <c r="G329" t="s">
        <v>40</v>
      </c>
      <c r="H329" t="s">
        <v>21</v>
      </c>
      <c r="I329">
        <v>42438.02</v>
      </c>
      <c r="J329">
        <v>12894.15</v>
      </c>
      <c r="K329">
        <v>141165.28</v>
      </c>
      <c r="L329" t="str">
        <f t="shared" si="60"/>
        <v>Amit</v>
      </c>
      <c r="M329" t="str">
        <f t="shared" si="61"/>
        <v>West</v>
      </c>
      <c r="N329" t="str">
        <f t="shared" si="62"/>
        <v>Chennai</v>
      </c>
      <c r="O329" t="str">
        <f t="shared" si="63"/>
        <v>Unknown</v>
      </c>
      <c r="P329" s="4" t="str">
        <f t="shared" si="64"/>
        <v>Online</v>
      </c>
      <c r="Q329">
        <f t="shared" si="65"/>
        <v>12894.15</v>
      </c>
      <c r="R329" s="6">
        <f t="shared" si="66"/>
        <v>29543.869999999995</v>
      </c>
      <c r="S329">
        <f t="shared" si="67"/>
        <v>0.69616513682777847</v>
      </c>
      <c r="T329">
        <f t="shared" si="68"/>
        <v>0.30062647132496034</v>
      </c>
      <c r="U329">
        <f t="shared" si="69"/>
        <v>-98727.260000000009</v>
      </c>
      <c r="V329" t="str">
        <f t="shared" si="70"/>
        <v>Profitable</v>
      </c>
      <c r="W329" t="str" cm="1">
        <f t="array" ref="W329">_xlfn.IFS(S329&lt;0,"Loss", S329&lt;0.15,"Low Margin",S329&lt;0.3,"Medium High", TRUE, "High Margin")</f>
        <v>High Margin</v>
      </c>
      <c r="X329" t="str">
        <f t="shared" si="71"/>
        <v>05-2024</v>
      </c>
    </row>
    <row r="330" spans="1:24" x14ac:dyDescent="0.3">
      <c r="A330">
        <v>10341</v>
      </c>
      <c r="B330" s="1">
        <v>45463</v>
      </c>
      <c r="C330" t="s">
        <v>11</v>
      </c>
      <c r="D330" t="s">
        <v>12</v>
      </c>
      <c r="E330" t="s">
        <v>44</v>
      </c>
      <c r="F330" t="s">
        <v>19</v>
      </c>
      <c r="G330" t="s">
        <v>40</v>
      </c>
      <c r="I330">
        <v>194369.9</v>
      </c>
      <c r="J330">
        <v>74001.09</v>
      </c>
      <c r="K330">
        <v>163674.34</v>
      </c>
      <c r="L330" t="str">
        <f t="shared" si="60"/>
        <v>Rahul</v>
      </c>
      <c r="M330" t="str">
        <f t="shared" si="61"/>
        <v>South</v>
      </c>
      <c r="N330" t="str">
        <f t="shared" si="62"/>
        <v>Pune</v>
      </c>
      <c r="O330" t="str">
        <f t="shared" si="63"/>
        <v>Startup</v>
      </c>
      <c r="P330" s="4" t="str">
        <f t="shared" si="64"/>
        <v>Unknown</v>
      </c>
      <c r="Q330">
        <f t="shared" si="65"/>
        <v>74001.09</v>
      </c>
      <c r="R330" s="6">
        <f t="shared" si="66"/>
        <v>120368.81</v>
      </c>
      <c r="S330">
        <f t="shared" si="67"/>
        <v>0.61927700739672142</v>
      </c>
      <c r="T330">
        <f t="shared" si="68"/>
        <v>1.187540453806015</v>
      </c>
      <c r="U330">
        <f t="shared" si="69"/>
        <v>30695.559999999998</v>
      </c>
      <c r="V330" t="str">
        <f t="shared" si="70"/>
        <v>Profitable</v>
      </c>
      <c r="W330" t="str" cm="1">
        <f t="array" ref="W330">_xlfn.IFS(S330&lt;0,"Loss", S330&lt;0.15,"Low Margin",S330&lt;0.3,"Medium High", TRUE, "High Margin")</f>
        <v>High Margin</v>
      </c>
      <c r="X330" t="str">
        <f t="shared" si="71"/>
        <v>06-2024</v>
      </c>
    </row>
    <row r="331" spans="1:24" x14ac:dyDescent="0.3">
      <c r="A331">
        <v>10304</v>
      </c>
      <c r="B331" s="1">
        <v>45304</v>
      </c>
      <c r="C331" t="s">
        <v>45</v>
      </c>
      <c r="D331" t="s">
        <v>31</v>
      </c>
      <c r="E331" t="s">
        <v>24</v>
      </c>
      <c r="G331" t="s">
        <v>20</v>
      </c>
      <c r="H331" t="s">
        <v>21</v>
      </c>
      <c r="I331">
        <v>29754.27</v>
      </c>
      <c r="J331">
        <v>106073.84</v>
      </c>
      <c r="L331" t="str">
        <f t="shared" si="60"/>
        <v>Rahul</v>
      </c>
      <c r="M331" t="str">
        <f t="shared" si="61"/>
        <v>South</v>
      </c>
      <c r="N331" t="str">
        <f t="shared" si="62"/>
        <v>Chennai</v>
      </c>
      <c r="O331" t="str">
        <f t="shared" si="63"/>
        <v>Unknown</v>
      </c>
      <c r="P331" s="4" t="str">
        <f t="shared" si="64"/>
        <v>Online</v>
      </c>
      <c r="Q331">
        <f t="shared" si="65"/>
        <v>106073.84</v>
      </c>
      <c r="R331" s="6">
        <f t="shared" si="66"/>
        <v>-76319.569999999992</v>
      </c>
      <c r="S331">
        <f t="shared" si="67"/>
        <v>-2.5649955451772128</v>
      </c>
      <c r="T331">
        <f t="shared" si="68"/>
        <v>0</v>
      </c>
      <c r="U331">
        <f t="shared" si="69"/>
        <v>29754.27</v>
      </c>
      <c r="V331" t="str">
        <f t="shared" si="70"/>
        <v>Unprofitable</v>
      </c>
      <c r="W331" t="str" cm="1">
        <f t="array" ref="W331">_xlfn.IFS(S331&lt;0,"Loss", S331&lt;0.15,"Low Margin",S331&lt;0.3,"Medium High", TRUE, "High Margin")</f>
        <v>Loss</v>
      </c>
      <c r="X331" t="str">
        <f t="shared" si="71"/>
        <v>01-2024</v>
      </c>
    </row>
    <row r="332" spans="1:24" x14ac:dyDescent="0.3">
      <c r="A332">
        <v>10053</v>
      </c>
      <c r="B332" s="1">
        <v>45459</v>
      </c>
      <c r="C332" t="s">
        <v>45</v>
      </c>
      <c r="D332" t="s">
        <v>37</v>
      </c>
      <c r="E332" t="s">
        <v>26</v>
      </c>
      <c r="F332" t="s">
        <v>19</v>
      </c>
      <c r="G332" t="s">
        <v>43</v>
      </c>
      <c r="H332" t="s">
        <v>28</v>
      </c>
      <c r="I332">
        <v>85491.39</v>
      </c>
      <c r="J332">
        <v>106301.03</v>
      </c>
      <c r="K332">
        <v>82896.63</v>
      </c>
      <c r="L332" t="str">
        <f t="shared" si="60"/>
        <v>Rahul</v>
      </c>
      <c r="M332" t="str">
        <f t="shared" si="61"/>
        <v>North</v>
      </c>
      <c r="N332" t="str">
        <f t="shared" si="62"/>
        <v>Mumbai</v>
      </c>
      <c r="O332" t="str">
        <f t="shared" si="63"/>
        <v>Startup</v>
      </c>
      <c r="P332" s="4" t="str">
        <f t="shared" si="64"/>
        <v>Direct</v>
      </c>
      <c r="Q332">
        <f t="shared" si="65"/>
        <v>106301.03</v>
      </c>
      <c r="R332" s="6">
        <f t="shared" si="66"/>
        <v>-20809.64</v>
      </c>
      <c r="S332">
        <f t="shared" si="67"/>
        <v>-0.24341211436613674</v>
      </c>
      <c r="T332">
        <f t="shared" si="68"/>
        <v>1.0313011518079807</v>
      </c>
      <c r="U332">
        <f t="shared" si="69"/>
        <v>2594.7599999999948</v>
      </c>
      <c r="V332" t="str">
        <f t="shared" si="70"/>
        <v>Unprofitable</v>
      </c>
      <c r="W332" t="str" cm="1">
        <f t="array" ref="W332">_xlfn.IFS(S332&lt;0,"Loss", S332&lt;0.15,"Low Margin",S332&lt;0.3,"Medium High", TRUE, "High Margin")</f>
        <v>Loss</v>
      </c>
      <c r="X332" t="str">
        <f t="shared" si="71"/>
        <v>06-2024</v>
      </c>
    </row>
    <row r="333" spans="1:24" x14ac:dyDescent="0.3">
      <c r="A333">
        <v>10443</v>
      </c>
      <c r="B333" s="1">
        <v>45421</v>
      </c>
      <c r="C333" t="s">
        <v>29</v>
      </c>
      <c r="E333" t="s">
        <v>35</v>
      </c>
      <c r="F333" t="s">
        <v>32</v>
      </c>
      <c r="G333" t="s">
        <v>42</v>
      </c>
      <c r="H333" t="s">
        <v>16</v>
      </c>
      <c r="I333">
        <v>149673.92000000001</v>
      </c>
      <c r="J333">
        <v>80108.31</v>
      </c>
      <c r="K333">
        <v>36039.29</v>
      </c>
      <c r="L333" t="str">
        <f t="shared" si="60"/>
        <v>Sneha</v>
      </c>
      <c r="M333" t="str">
        <f t="shared" si="61"/>
        <v>Unknown</v>
      </c>
      <c r="N333" t="str">
        <f t="shared" si="62"/>
        <v>Hyderabad</v>
      </c>
      <c r="O333" t="str">
        <f t="shared" si="63"/>
        <v>Smb</v>
      </c>
      <c r="P333" s="4" t="str">
        <f t="shared" si="64"/>
        <v>direct</v>
      </c>
      <c r="Q333">
        <f t="shared" si="65"/>
        <v>80108.31</v>
      </c>
      <c r="R333" s="6">
        <f t="shared" si="66"/>
        <v>69565.610000000015</v>
      </c>
      <c r="S333">
        <f t="shared" si="67"/>
        <v>0.46478110548584556</v>
      </c>
      <c r="T333">
        <f t="shared" si="68"/>
        <v>4.1530762675957273</v>
      </c>
      <c r="U333">
        <f t="shared" si="69"/>
        <v>113634.63</v>
      </c>
      <c r="V333" t="str">
        <f t="shared" si="70"/>
        <v>Profitable</v>
      </c>
      <c r="W333" t="str" cm="1">
        <f t="array" ref="W333">_xlfn.IFS(S333&lt;0,"Loss", S333&lt;0.15,"Low Margin",S333&lt;0.3,"Medium High", TRUE, "High Margin")</f>
        <v>High Margin</v>
      </c>
      <c r="X333" t="str">
        <f t="shared" si="71"/>
        <v>05-2024</v>
      </c>
    </row>
    <row r="334" spans="1:24" x14ac:dyDescent="0.3">
      <c r="A334">
        <v>10263</v>
      </c>
      <c r="B334" s="1">
        <v>45375</v>
      </c>
      <c r="C334" t="s">
        <v>11</v>
      </c>
      <c r="D334" t="s">
        <v>34</v>
      </c>
      <c r="E334" t="s">
        <v>44</v>
      </c>
      <c r="F334" t="s">
        <v>19</v>
      </c>
      <c r="G334" t="s">
        <v>42</v>
      </c>
      <c r="H334" t="s">
        <v>21</v>
      </c>
      <c r="I334">
        <v>143274.45000000001</v>
      </c>
      <c r="J334">
        <v>27714.12</v>
      </c>
      <c r="K334">
        <v>22654.799999999999</v>
      </c>
      <c r="L334" t="str">
        <f t="shared" si="60"/>
        <v>Rahul</v>
      </c>
      <c r="M334" t="str">
        <f t="shared" si="61"/>
        <v>East</v>
      </c>
      <c r="N334" t="str">
        <f t="shared" si="62"/>
        <v>Pune</v>
      </c>
      <c r="O334" t="str">
        <f t="shared" si="63"/>
        <v>Startup</v>
      </c>
      <c r="P334" s="4" t="str">
        <f t="shared" si="64"/>
        <v>Online</v>
      </c>
      <c r="Q334">
        <f t="shared" si="65"/>
        <v>27714.12</v>
      </c>
      <c r="R334" s="6">
        <f t="shared" si="66"/>
        <v>115560.33000000002</v>
      </c>
      <c r="S334">
        <f t="shared" si="67"/>
        <v>0.80656620911823429</v>
      </c>
      <c r="T334">
        <f t="shared" si="68"/>
        <v>6.3242425446263049</v>
      </c>
      <c r="U334">
        <f t="shared" si="69"/>
        <v>120619.65000000001</v>
      </c>
      <c r="V334" t="str">
        <f t="shared" si="70"/>
        <v>Profitable</v>
      </c>
      <c r="W334" t="str" cm="1">
        <f t="array" ref="W334">_xlfn.IFS(S334&lt;0,"Loss", S334&lt;0.15,"Low Margin",S334&lt;0.3,"Medium High", TRUE, "High Margin")</f>
        <v>High Margin</v>
      </c>
      <c r="X334" t="str">
        <f t="shared" si="71"/>
        <v>03-2024</v>
      </c>
    </row>
    <row r="335" spans="1:24" x14ac:dyDescent="0.3">
      <c r="A335">
        <v>10052</v>
      </c>
      <c r="B335" s="1">
        <v>45392</v>
      </c>
      <c r="D335" t="s">
        <v>23</v>
      </c>
      <c r="E335" t="s">
        <v>24</v>
      </c>
      <c r="F335" t="s">
        <v>32</v>
      </c>
      <c r="G335" t="s">
        <v>27</v>
      </c>
      <c r="I335">
        <v>89163.9</v>
      </c>
      <c r="J335">
        <v>103970.63</v>
      </c>
      <c r="K335">
        <v>125874.99</v>
      </c>
      <c r="L335" t="str">
        <f t="shared" si="60"/>
        <v>Unassigned</v>
      </c>
      <c r="M335" t="str">
        <f t="shared" si="61"/>
        <v>West</v>
      </c>
      <c r="N335" t="str">
        <f t="shared" si="62"/>
        <v>Chennai</v>
      </c>
      <c r="O335" t="str">
        <f t="shared" si="63"/>
        <v>Smb</v>
      </c>
      <c r="P335" s="4" t="str">
        <f t="shared" si="64"/>
        <v>Unknown</v>
      </c>
      <c r="Q335">
        <f t="shared" si="65"/>
        <v>103970.63</v>
      </c>
      <c r="R335" s="6">
        <f t="shared" si="66"/>
        <v>-14806.73000000001</v>
      </c>
      <c r="S335">
        <f t="shared" si="67"/>
        <v>-0.16606193762273758</v>
      </c>
      <c r="T335">
        <f t="shared" si="68"/>
        <v>0.70835278715811612</v>
      </c>
      <c r="U335">
        <f t="shared" si="69"/>
        <v>-36711.090000000011</v>
      </c>
      <c r="V335" t="str">
        <f t="shared" si="70"/>
        <v>Unprofitable</v>
      </c>
      <c r="W335" t="str" cm="1">
        <f t="array" ref="W335">_xlfn.IFS(S335&lt;0,"Loss", S335&lt;0.15,"Low Margin",S335&lt;0.3,"Medium High", TRUE, "High Margin")</f>
        <v>Loss</v>
      </c>
      <c r="X335" t="str">
        <f t="shared" si="71"/>
        <v>04-2024</v>
      </c>
    </row>
    <row r="336" spans="1:24" x14ac:dyDescent="0.3">
      <c r="A336">
        <v>10571</v>
      </c>
      <c r="B336" s="1">
        <v>45556</v>
      </c>
      <c r="D336" t="s">
        <v>31</v>
      </c>
      <c r="E336" t="s">
        <v>18</v>
      </c>
      <c r="F336" t="s">
        <v>19</v>
      </c>
      <c r="G336" t="s">
        <v>27</v>
      </c>
      <c r="H336" t="s">
        <v>28</v>
      </c>
      <c r="I336">
        <v>74532.639999999999</v>
      </c>
      <c r="K336">
        <v>116391.91</v>
      </c>
      <c r="L336" t="str">
        <f t="shared" si="60"/>
        <v>Unassigned</v>
      </c>
      <c r="M336" t="str">
        <f t="shared" si="61"/>
        <v>South</v>
      </c>
      <c r="N336" t="str">
        <f t="shared" si="62"/>
        <v>Bengaluru</v>
      </c>
      <c r="O336" t="str">
        <f t="shared" si="63"/>
        <v>Startup</v>
      </c>
      <c r="P336" s="4" t="str">
        <f t="shared" si="64"/>
        <v>Direct</v>
      </c>
      <c r="Q336">
        <f t="shared" si="65"/>
        <v>0</v>
      </c>
      <c r="R336" s="6">
        <f t="shared" si="66"/>
        <v>74532.639999999999</v>
      </c>
      <c r="S336">
        <f t="shared" si="67"/>
        <v>1</v>
      </c>
      <c r="T336">
        <f t="shared" si="68"/>
        <v>0.64035928270272391</v>
      </c>
      <c r="U336">
        <f t="shared" si="69"/>
        <v>-41859.270000000004</v>
      </c>
      <c r="V336" t="str">
        <f t="shared" si="70"/>
        <v>Profitable</v>
      </c>
      <c r="W336" t="str" cm="1">
        <f t="array" ref="W336">_xlfn.IFS(S336&lt;0,"Loss", S336&lt;0.15,"Low Margin",S336&lt;0.3,"Medium High", TRUE, "High Margin")</f>
        <v>High Margin</v>
      </c>
      <c r="X336" t="str">
        <f t="shared" si="71"/>
        <v>09-2024</v>
      </c>
    </row>
    <row r="337" spans="1:24" x14ac:dyDescent="0.3">
      <c r="A337">
        <v>10004</v>
      </c>
      <c r="B337" s="1">
        <v>45329</v>
      </c>
      <c r="C337" t="s">
        <v>25</v>
      </c>
      <c r="D337" t="s">
        <v>31</v>
      </c>
      <c r="E337" t="s">
        <v>13</v>
      </c>
      <c r="G337" t="s">
        <v>42</v>
      </c>
      <c r="H337" t="s">
        <v>33</v>
      </c>
      <c r="I337">
        <v>84341.58</v>
      </c>
      <c r="J337">
        <v>26008.47</v>
      </c>
      <c r="K337">
        <v>46083.06</v>
      </c>
      <c r="L337" t="str">
        <f t="shared" si="60"/>
        <v>Priya</v>
      </c>
      <c r="M337" t="str">
        <f t="shared" si="61"/>
        <v>South</v>
      </c>
      <c r="N337" t="str">
        <f t="shared" si="62"/>
        <v>Bengaluru</v>
      </c>
      <c r="O337" t="str">
        <f t="shared" si="63"/>
        <v>Unknown</v>
      </c>
      <c r="P337" s="4" t="str">
        <f t="shared" si="64"/>
        <v>Partner</v>
      </c>
      <c r="Q337">
        <f t="shared" si="65"/>
        <v>26008.47</v>
      </c>
      <c r="R337" s="6">
        <f t="shared" si="66"/>
        <v>58333.11</v>
      </c>
      <c r="S337">
        <f t="shared" si="67"/>
        <v>0.6916293244684294</v>
      </c>
      <c r="T337">
        <f t="shared" si="68"/>
        <v>1.8302078898406486</v>
      </c>
      <c r="U337">
        <f t="shared" si="69"/>
        <v>38258.520000000004</v>
      </c>
      <c r="V337" t="str">
        <f t="shared" si="70"/>
        <v>Profitable</v>
      </c>
      <c r="W337" t="str" cm="1">
        <f t="array" ref="W337">_xlfn.IFS(S337&lt;0,"Loss", S337&lt;0.15,"Low Margin",S337&lt;0.3,"Medium High", TRUE, "High Margin")</f>
        <v>High Margin</v>
      </c>
      <c r="X337" t="str">
        <f t="shared" si="71"/>
        <v>02-2024</v>
      </c>
    </row>
    <row r="338" spans="1:24" x14ac:dyDescent="0.3">
      <c r="A338">
        <v>10102</v>
      </c>
      <c r="B338" s="1">
        <v>45385</v>
      </c>
      <c r="C338" t="s">
        <v>30</v>
      </c>
      <c r="D338" t="s">
        <v>34</v>
      </c>
      <c r="E338" t="s">
        <v>26</v>
      </c>
      <c r="G338" t="s">
        <v>40</v>
      </c>
      <c r="H338" t="s">
        <v>33</v>
      </c>
      <c r="I338">
        <v>58741.04</v>
      </c>
      <c r="J338">
        <v>89278.85</v>
      </c>
      <c r="K338">
        <v>57410.05</v>
      </c>
      <c r="L338" t="str">
        <f t="shared" si="60"/>
        <v>Ankit</v>
      </c>
      <c r="M338" t="str">
        <f t="shared" si="61"/>
        <v>East</v>
      </c>
      <c r="N338" t="str">
        <f t="shared" si="62"/>
        <v>Mumbai</v>
      </c>
      <c r="O338" t="str">
        <f t="shared" si="63"/>
        <v>Unknown</v>
      </c>
      <c r="P338" s="4" t="str">
        <f t="shared" si="64"/>
        <v>Partner</v>
      </c>
      <c r="Q338">
        <f t="shared" si="65"/>
        <v>89278.85</v>
      </c>
      <c r="R338" s="6">
        <f t="shared" si="66"/>
        <v>-30537.810000000005</v>
      </c>
      <c r="S338">
        <f t="shared" si="67"/>
        <v>-0.51987179661783323</v>
      </c>
      <c r="T338">
        <f t="shared" si="68"/>
        <v>1.0231839198885908</v>
      </c>
      <c r="U338">
        <f t="shared" si="69"/>
        <v>1330.989999999998</v>
      </c>
      <c r="V338" t="str">
        <f t="shared" si="70"/>
        <v>Unprofitable</v>
      </c>
      <c r="W338" t="str" cm="1">
        <f t="array" ref="W338">_xlfn.IFS(S338&lt;0,"Loss", S338&lt;0.15,"Low Margin",S338&lt;0.3,"Medium High", TRUE, "High Margin")</f>
        <v>Loss</v>
      </c>
      <c r="X338" t="str">
        <f t="shared" si="71"/>
        <v>04-2024</v>
      </c>
    </row>
    <row r="339" spans="1:24" x14ac:dyDescent="0.3">
      <c r="A339">
        <v>10195</v>
      </c>
      <c r="B339" s="1">
        <v>45386</v>
      </c>
      <c r="C339" t="s">
        <v>41</v>
      </c>
      <c r="D339" t="s">
        <v>31</v>
      </c>
      <c r="E339" t="s">
        <v>35</v>
      </c>
      <c r="G339" t="s">
        <v>15</v>
      </c>
      <c r="I339">
        <v>47423.92</v>
      </c>
      <c r="J339">
        <v>36522.79</v>
      </c>
      <c r="K339">
        <v>23793.24</v>
      </c>
      <c r="L339" t="str">
        <f t="shared" si="60"/>
        <v>Neha</v>
      </c>
      <c r="M339" t="str">
        <f t="shared" si="61"/>
        <v>South</v>
      </c>
      <c r="N339" t="str">
        <f t="shared" si="62"/>
        <v>Hyderabad</v>
      </c>
      <c r="O339" t="str">
        <f t="shared" si="63"/>
        <v>Unknown</v>
      </c>
      <c r="P339" s="4" t="str">
        <f t="shared" si="64"/>
        <v>Unknown</v>
      </c>
      <c r="Q339">
        <f t="shared" si="65"/>
        <v>36522.79</v>
      </c>
      <c r="R339" s="6">
        <f t="shared" si="66"/>
        <v>10901.129999999997</v>
      </c>
      <c r="S339">
        <f t="shared" si="67"/>
        <v>0.22986564585972644</v>
      </c>
      <c r="T339">
        <f t="shared" si="68"/>
        <v>1.9931678073267867</v>
      </c>
      <c r="U339">
        <f t="shared" si="69"/>
        <v>23630.679999999997</v>
      </c>
      <c r="V339" t="str">
        <f t="shared" si="70"/>
        <v>Profitable</v>
      </c>
      <c r="W339" t="str" cm="1">
        <f t="array" ref="W339">_xlfn.IFS(S339&lt;0,"Loss", S339&lt;0.15,"Low Margin",S339&lt;0.3,"Medium High", TRUE, "High Margin")</f>
        <v>Medium High</v>
      </c>
      <c r="X339" t="str">
        <f t="shared" si="71"/>
        <v>04-2024</v>
      </c>
    </row>
    <row r="340" spans="1:24" x14ac:dyDescent="0.3">
      <c r="A340">
        <v>10349</v>
      </c>
      <c r="B340" s="1">
        <v>45360</v>
      </c>
      <c r="D340" t="s">
        <v>37</v>
      </c>
      <c r="E340" t="s">
        <v>26</v>
      </c>
      <c r="F340" t="s">
        <v>14</v>
      </c>
      <c r="G340" t="s">
        <v>40</v>
      </c>
      <c r="H340" t="s">
        <v>28</v>
      </c>
      <c r="I340">
        <v>100743.62</v>
      </c>
      <c r="J340">
        <v>96908.92</v>
      </c>
      <c r="K340">
        <v>153591.54999999999</v>
      </c>
      <c r="L340" t="str">
        <f t="shared" si="60"/>
        <v>Unassigned</v>
      </c>
      <c r="M340" t="str">
        <f t="shared" si="61"/>
        <v>North</v>
      </c>
      <c r="N340" t="str">
        <f t="shared" si="62"/>
        <v>Mumbai</v>
      </c>
      <c r="O340" t="str">
        <f t="shared" si="63"/>
        <v>Enterprise</v>
      </c>
      <c r="P340" s="4" t="str">
        <f t="shared" si="64"/>
        <v>Direct</v>
      </c>
      <c r="Q340">
        <f t="shared" si="65"/>
        <v>96908.92</v>
      </c>
      <c r="R340" s="6">
        <f t="shared" si="66"/>
        <v>3834.6999999999971</v>
      </c>
      <c r="S340">
        <f t="shared" si="67"/>
        <v>3.8063948863461497E-2</v>
      </c>
      <c r="T340">
        <f t="shared" si="68"/>
        <v>0.65591902679541947</v>
      </c>
      <c r="U340">
        <f t="shared" si="69"/>
        <v>-52847.929999999993</v>
      </c>
      <c r="V340" t="str">
        <f t="shared" si="70"/>
        <v>Profitable</v>
      </c>
      <c r="W340" t="str" cm="1">
        <f t="array" ref="W340">_xlfn.IFS(S340&lt;0,"Loss", S340&lt;0.15,"Low Margin",S340&lt;0.3,"Medium High", TRUE, "High Margin")</f>
        <v>Low Margin</v>
      </c>
      <c r="X340" t="str">
        <f t="shared" si="71"/>
        <v>03-2024</v>
      </c>
    </row>
    <row r="341" spans="1:24" x14ac:dyDescent="0.3">
      <c r="A341">
        <v>10046</v>
      </c>
      <c r="B341" s="1">
        <v>45527</v>
      </c>
      <c r="C341" t="s">
        <v>11</v>
      </c>
      <c r="D341" t="s">
        <v>37</v>
      </c>
      <c r="E341" t="s">
        <v>18</v>
      </c>
      <c r="F341" t="s">
        <v>39</v>
      </c>
      <c r="G341" t="s">
        <v>27</v>
      </c>
      <c r="H341" t="s">
        <v>16</v>
      </c>
      <c r="I341">
        <v>59558.48</v>
      </c>
      <c r="J341">
        <v>119676.83</v>
      </c>
      <c r="K341">
        <v>175950.5</v>
      </c>
      <c r="L341" t="str">
        <f t="shared" si="60"/>
        <v>Rahul</v>
      </c>
      <c r="M341" t="str">
        <f t="shared" si="61"/>
        <v>North</v>
      </c>
      <c r="N341" t="str">
        <f t="shared" si="62"/>
        <v>Bengaluru</v>
      </c>
      <c r="O341" t="str">
        <f t="shared" si="63"/>
        <v>Enterprise</v>
      </c>
      <c r="P341" s="4" t="str">
        <f t="shared" si="64"/>
        <v>direct</v>
      </c>
      <c r="Q341">
        <f t="shared" si="65"/>
        <v>119676.83</v>
      </c>
      <c r="R341" s="6">
        <f t="shared" si="66"/>
        <v>-60118.35</v>
      </c>
      <c r="S341">
        <f t="shared" si="67"/>
        <v>-1.0094003406399894</v>
      </c>
      <c r="T341">
        <f t="shared" si="68"/>
        <v>0.33849565644883078</v>
      </c>
      <c r="U341">
        <f t="shared" si="69"/>
        <v>-116392.01999999999</v>
      </c>
      <c r="V341" t="str">
        <f t="shared" si="70"/>
        <v>Unprofitable</v>
      </c>
      <c r="W341" t="str" cm="1">
        <f t="array" ref="W341">_xlfn.IFS(S341&lt;0,"Loss", S341&lt;0.15,"Low Margin",S341&lt;0.3,"Medium High", TRUE, "High Margin")</f>
        <v>Loss</v>
      </c>
      <c r="X341" t="str">
        <f t="shared" si="71"/>
        <v>08-2024</v>
      </c>
    </row>
    <row r="342" spans="1:24" x14ac:dyDescent="0.3">
      <c r="A342">
        <v>10268</v>
      </c>
      <c r="B342" s="1">
        <v>45428</v>
      </c>
      <c r="C342" t="s">
        <v>45</v>
      </c>
      <c r="D342" t="s">
        <v>34</v>
      </c>
      <c r="E342" t="s">
        <v>35</v>
      </c>
      <c r="G342" t="s">
        <v>20</v>
      </c>
      <c r="H342" t="s">
        <v>21</v>
      </c>
      <c r="I342">
        <v>63192.639999999999</v>
      </c>
      <c r="J342">
        <v>6513.04</v>
      </c>
      <c r="K342">
        <v>41673.53</v>
      </c>
      <c r="L342" t="str">
        <f t="shared" si="60"/>
        <v>Rahul</v>
      </c>
      <c r="M342" t="str">
        <f t="shared" si="61"/>
        <v>East</v>
      </c>
      <c r="N342" t="str">
        <f t="shared" si="62"/>
        <v>Hyderabad</v>
      </c>
      <c r="O342" t="str">
        <f t="shared" si="63"/>
        <v>Unknown</v>
      </c>
      <c r="P342" s="4" t="str">
        <f t="shared" si="64"/>
        <v>Online</v>
      </c>
      <c r="Q342">
        <f t="shared" si="65"/>
        <v>6513.04</v>
      </c>
      <c r="R342" s="6">
        <f t="shared" si="66"/>
        <v>56679.6</v>
      </c>
      <c r="S342">
        <f t="shared" si="67"/>
        <v>0.89693356694703685</v>
      </c>
      <c r="T342">
        <f t="shared" si="68"/>
        <v>1.5163735829434175</v>
      </c>
      <c r="U342">
        <f t="shared" si="69"/>
        <v>21519.11</v>
      </c>
      <c r="V342" t="str">
        <f t="shared" si="70"/>
        <v>Profitable</v>
      </c>
      <c r="W342" t="str" cm="1">
        <f t="array" ref="W342">_xlfn.IFS(S342&lt;0,"Loss", S342&lt;0.15,"Low Margin",S342&lt;0.3,"Medium High", TRUE, "High Margin")</f>
        <v>High Margin</v>
      </c>
      <c r="X342" t="str">
        <f t="shared" si="71"/>
        <v>05-2024</v>
      </c>
    </row>
    <row r="343" spans="1:24" x14ac:dyDescent="0.3">
      <c r="A343">
        <v>10369</v>
      </c>
      <c r="B343" s="1">
        <v>45367</v>
      </c>
      <c r="D343" t="s">
        <v>23</v>
      </c>
      <c r="E343" t="s">
        <v>26</v>
      </c>
      <c r="F343" t="s">
        <v>32</v>
      </c>
      <c r="G343" t="s">
        <v>42</v>
      </c>
      <c r="H343" t="s">
        <v>28</v>
      </c>
      <c r="I343">
        <v>134097.16</v>
      </c>
      <c r="J343">
        <v>107991.81</v>
      </c>
      <c r="K343">
        <v>57036.03</v>
      </c>
      <c r="L343" t="str">
        <f t="shared" si="60"/>
        <v>Unassigned</v>
      </c>
      <c r="M343" t="str">
        <f t="shared" si="61"/>
        <v>West</v>
      </c>
      <c r="N343" t="str">
        <f t="shared" si="62"/>
        <v>Mumbai</v>
      </c>
      <c r="O343" t="str">
        <f t="shared" si="63"/>
        <v>Smb</v>
      </c>
      <c r="P343" s="4" t="str">
        <f t="shared" si="64"/>
        <v>Direct</v>
      </c>
      <c r="Q343">
        <f t="shared" si="65"/>
        <v>107991.81</v>
      </c>
      <c r="R343" s="6">
        <f t="shared" si="66"/>
        <v>26105.350000000006</v>
      </c>
      <c r="S343">
        <f t="shared" si="67"/>
        <v>0.19467489095220217</v>
      </c>
      <c r="T343">
        <f t="shared" si="68"/>
        <v>2.3510956144738686</v>
      </c>
      <c r="U343">
        <f t="shared" si="69"/>
        <v>77061.13</v>
      </c>
      <c r="V343" t="str">
        <f t="shared" si="70"/>
        <v>Profitable</v>
      </c>
      <c r="W343" t="str" cm="1">
        <f t="array" ref="W343">_xlfn.IFS(S343&lt;0,"Loss", S343&lt;0.15,"Low Margin",S343&lt;0.3,"Medium High", TRUE, "High Margin")</f>
        <v>Medium High</v>
      </c>
      <c r="X343" t="str">
        <f t="shared" si="71"/>
        <v>03-2024</v>
      </c>
    </row>
    <row r="344" spans="1:24" x14ac:dyDescent="0.3">
      <c r="A344">
        <v>10105</v>
      </c>
      <c r="B344" s="1">
        <v>45326</v>
      </c>
      <c r="C344" t="s">
        <v>45</v>
      </c>
      <c r="D344" t="s">
        <v>17</v>
      </c>
      <c r="E344" t="s">
        <v>38</v>
      </c>
      <c r="G344" t="s">
        <v>27</v>
      </c>
      <c r="H344" t="s">
        <v>33</v>
      </c>
      <c r="I344">
        <v>193959.17</v>
      </c>
      <c r="J344">
        <v>75847.77</v>
      </c>
      <c r="K344">
        <v>158945.51999999999</v>
      </c>
      <c r="L344" t="str">
        <f t="shared" si="60"/>
        <v>Rahul</v>
      </c>
      <c r="M344" t="str">
        <f t="shared" si="61"/>
        <v>West</v>
      </c>
      <c r="N344" t="str">
        <f t="shared" si="62"/>
        <v>Delhi</v>
      </c>
      <c r="O344" t="str">
        <f t="shared" si="63"/>
        <v>Unknown</v>
      </c>
      <c r="P344" s="4" t="str">
        <f t="shared" si="64"/>
        <v>Partner</v>
      </c>
      <c r="Q344">
        <f t="shared" si="65"/>
        <v>75847.77</v>
      </c>
      <c r="R344" s="6">
        <f t="shared" si="66"/>
        <v>118111.40000000001</v>
      </c>
      <c r="S344">
        <f t="shared" si="67"/>
        <v>0.60894981144742988</v>
      </c>
      <c r="T344">
        <f t="shared" si="68"/>
        <v>1.2202871147296257</v>
      </c>
      <c r="U344">
        <f t="shared" si="69"/>
        <v>35013.650000000023</v>
      </c>
      <c r="V344" t="str">
        <f t="shared" si="70"/>
        <v>Profitable</v>
      </c>
      <c r="W344" t="str" cm="1">
        <f t="array" ref="W344">_xlfn.IFS(S344&lt;0,"Loss", S344&lt;0.15,"Low Margin",S344&lt;0.3,"Medium High", TRUE, "High Margin")</f>
        <v>High Margin</v>
      </c>
      <c r="X344" t="str">
        <f t="shared" si="71"/>
        <v>02-2024</v>
      </c>
    </row>
    <row r="345" spans="1:24" x14ac:dyDescent="0.3">
      <c r="A345">
        <v>10119</v>
      </c>
      <c r="B345" s="1">
        <v>45292</v>
      </c>
      <c r="D345" t="s">
        <v>12</v>
      </c>
      <c r="E345" t="s">
        <v>18</v>
      </c>
      <c r="F345" t="s">
        <v>14</v>
      </c>
      <c r="G345" t="s">
        <v>27</v>
      </c>
      <c r="I345">
        <v>123898.34</v>
      </c>
      <c r="J345">
        <v>116885.77</v>
      </c>
      <c r="K345">
        <v>168234.21</v>
      </c>
      <c r="L345" t="str">
        <f t="shared" si="60"/>
        <v>Unassigned</v>
      </c>
      <c r="M345" t="str">
        <f t="shared" si="61"/>
        <v>South</v>
      </c>
      <c r="N345" t="str">
        <f t="shared" si="62"/>
        <v>Bengaluru</v>
      </c>
      <c r="O345" t="str">
        <f t="shared" si="63"/>
        <v>Enterprise</v>
      </c>
      <c r="P345" s="4" t="str">
        <f t="shared" si="64"/>
        <v>Unknown</v>
      </c>
      <c r="Q345">
        <f t="shared" si="65"/>
        <v>116885.77</v>
      </c>
      <c r="R345" s="6">
        <f t="shared" si="66"/>
        <v>7012.5699999999924</v>
      </c>
      <c r="S345">
        <f t="shared" si="67"/>
        <v>5.6599386238750195E-2</v>
      </c>
      <c r="T345">
        <f t="shared" si="68"/>
        <v>0.73646341014708006</v>
      </c>
      <c r="U345">
        <f t="shared" si="69"/>
        <v>-44335.869999999995</v>
      </c>
      <c r="V345" t="str">
        <f t="shared" si="70"/>
        <v>Profitable</v>
      </c>
      <c r="W345" t="str" cm="1">
        <f t="array" ref="W345">_xlfn.IFS(S345&lt;0,"Loss", S345&lt;0.15,"Low Margin",S345&lt;0.3,"Medium High", TRUE, "High Margin")</f>
        <v>Low Margin</v>
      </c>
      <c r="X345" t="str">
        <f t="shared" si="71"/>
        <v>01-2024</v>
      </c>
    </row>
    <row r="346" spans="1:24" x14ac:dyDescent="0.3">
      <c r="A346">
        <v>10057</v>
      </c>
      <c r="B346" s="1">
        <v>45351</v>
      </c>
      <c r="C346" t="s">
        <v>41</v>
      </c>
      <c r="D346" t="s">
        <v>17</v>
      </c>
      <c r="E346" t="s">
        <v>18</v>
      </c>
      <c r="F346" t="s">
        <v>32</v>
      </c>
      <c r="G346" t="s">
        <v>15</v>
      </c>
      <c r="I346">
        <v>22780.06</v>
      </c>
      <c r="J346">
        <v>57406.11</v>
      </c>
      <c r="K346">
        <v>87140.38</v>
      </c>
      <c r="L346" t="str">
        <f t="shared" si="60"/>
        <v>Neha</v>
      </c>
      <c r="M346" t="str">
        <f t="shared" si="61"/>
        <v>West</v>
      </c>
      <c r="N346" t="str">
        <f t="shared" si="62"/>
        <v>Bengaluru</v>
      </c>
      <c r="O346" t="str">
        <f t="shared" si="63"/>
        <v>Smb</v>
      </c>
      <c r="P346" s="4" t="str">
        <f t="shared" si="64"/>
        <v>Unknown</v>
      </c>
      <c r="Q346">
        <f t="shared" si="65"/>
        <v>57406.11</v>
      </c>
      <c r="R346" s="6">
        <f t="shared" si="66"/>
        <v>-34626.050000000003</v>
      </c>
      <c r="S346">
        <f t="shared" si="67"/>
        <v>-1.5200157506169869</v>
      </c>
      <c r="T346">
        <f t="shared" si="68"/>
        <v>0.26141795571697068</v>
      </c>
      <c r="U346">
        <f t="shared" si="69"/>
        <v>-64360.320000000007</v>
      </c>
      <c r="V346" t="str">
        <f t="shared" si="70"/>
        <v>Unprofitable</v>
      </c>
      <c r="W346" t="str" cm="1">
        <f t="array" ref="W346">_xlfn.IFS(S346&lt;0,"Loss", S346&lt;0.15,"Low Margin",S346&lt;0.3,"Medium High", TRUE, "High Margin")</f>
        <v>Loss</v>
      </c>
      <c r="X346" t="str">
        <f t="shared" si="71"/>
        <v>02-2024</v>
      </c>
    </row>
    <row r="347" spans="1:24" x14ac:dyDescent="0.3">
      <c r="A347">
        <v>10345</v>
      </c>
      <c r="B347" s="1">
        <v>45558</v>
      </c>
      <c r="D347" t="s">
        <v>31</v>
      </c>
      <c r="E347" t="s">
        <v>18</v>
      </c>
      <c r="F347" t="s">
        <v>14</v>
      </c>
      <c r="G347" t="s">
        <v>42</v>
      </c>
      <c r="H347" t="s">
        <v>21</v>
      </c>
      <c r="I347">
        <v>22512.05</v>
      </c>
      <c r="J347">
        <v>102144.39</v>
      </c>
      <c r="K347">
        <v>28099.599999999999</v>
      </c>
      <c r="L347" t="str">
        <f t="shared" si="60"/>
        <v>Unassigned</v>
      </c>
      <c r="M347" t="str">
        <f t="shared" si="61"/>
        <v>South</v>
      </c>
      <c r="N347" t="str">
        <f t="shared" si="62"/>
        <v>Bengaluru</v>
      </c>
      <c r="O347" t="str">
        <f t="shared" si="63"/>
        <v>Enterprise</v>
      </c>
      <c r="P347" s="4" t="str">
        <f t="shared" si="64"/>
        <v>Online</v>
      </c>
      <c r="Q347">
        <f t="shared" si="65"/>
        <v>102144.39</v>
      </c>
      <c r="R347" s="6">
        <f t="shared" si="66"/>
        <v>-79632.34</v>
      </c>
      <c r="S347">
        <f t="shared" si="67"/>
        <v>-3.5373206793694933</v>
      </c>
      <c r="T347">
        <f t="shared" si="68"/>
        <v>0.80115197369357571</v>
      </c>
      <c r="U347">
        <f t="shared" si="69"/>
        <v>-5587.5499999999993</v>
      </c>
      <c r="V347" t="str">
        <f t="shared" si="70"/>
        <v>Unprofitable</v>
      </c>
      <c r="W347" t="str" cm="1">
        <f t="array" ref="W347">_xlfn.IFS(S347&lt;0,"Loss", S347&lt;0.15,"Low Margin",S347&lt;0.3,"Medium High", TRUE, "High Margin")</f>
        <v>Loss</v>
      </c>
      <c r="X347" t="str">
        <f t="shared" si="71"/>
        <v>09-2024</v>
      </c>
    </row>
    <row r="348" spans="1:24" x14ac:dyDescent="0.3">
      <c r="A348">
        <v>10473</v>
      </c>
      <c r="B348" s="1">
        <v>45520</v>
      </c>
      <c r="C348" t="s">
        <v>11</v>
      </c>
      <c r="D348" t="s">
        <v>12</v>
      </c>
      <c r="E348" t="s">
        <v>38</v>
      </c>
      <c r="F348" t="s">
        <v>32</v>
      </c>
      <c r="G348" t="s">
        <v>15</v>
      </c>
      <c r="I348">
        <v>190673.26</v>
      </c>
      <c r="J348">
        <v>10300.11</v>
      </c>
      <c r="K348">
        <v>26302.69</v>
      </c>
      <c r="L348" t="str">
        <f t="shared" si="60"/>
        <v>Rahul</v>
      </c>
      <c r="M348" t="str">
        <f t="shared" si="61"/>
        <v>South</v>
      </c>
      <c r="N348" t="str">
        <f t="shared" si="62"/>
        <v>Delhi</v>
      </c>
      <c r="O348" t="str">
        <f t="shared" si="63"/>
        <v>Smb</v>
      </c>
      <c r="P348" s="4" t="str">
        <f t="shared" si="64"/>
        <v>Unknown</v>
      </c>
      <c r="Q348">
        <f t="shared" si="65"/>
        <v>10300.11</v>
      </c>
      <c r="R348" s="6">
        <f t="shared" si="66"/>
        <v>180373.15000000002</v>
      </c>
      <c r="S348">
        <f t="shared" si="67"/>
        <v>0.94598031207941802</v>
      </c>
      <c r="T348">
        <f t="shared" si="68"/>
        <v>7.2491923829844023</v>
      </c>
      <c r="U348">
        <f t="shared" si="69"/>
        <v>164370.57</v>
      </c>
      <c r="V348" t="str">
        <f t="shared" si="70"/>
        <v>Profitable</v>
      </c>
      <c r="W348" t="str" cm="1">
        <f t="array" ref="W348">_xlfn.IFS(S348&lt;0,"Loss", S348&lt;0.15,"Low Margin",S348&lt;0.3,"Medium High", TRUE, "High Margin")</f>
        <v>High Margin</v>
      </c>
      <c r="X348" t="str">
        <f t="shared" si="71"/>
        <v>08-2024</v>
      </c>
    </row>
    <row r="349" spans="1:24" x14ac:dyDescent="0.3">
      <c r="A349">
        <v>10116</v>
      </c>
      <c r="B349" s="1">
        <v>45561</v>
      </c>
      <c r="D349" t="s">
        <v>34</v>
      </c>
      <c r="E349" t="s">
        <v>38</v>
      </c>
      <c r="F349" t="s">
        <v>19</v>
      </c>
      <c r="G349" t="s">
        <v>42</v>
      </c>
      <c r="I349">
        <v>65079.83</v>
      </c>
      <c r="J349">
        <v>42227.65</v>
      </c>
      <c r="K349">
        <v>111831.98</v>
      </c>
      <c r="L349" t="str">
        <f t="shared" si="60"/>
        <v>Unassigned</v>
      </c>
      <c r="M349" t="str">
        <f t="shared" si="61"/>
        <v>East</v>
      </c>
      <c r="N349" t="str">
        <f t="shared" si="62"/>
        <v>Delhi</v>
      </c>
      <c r="O349" t="str">
        <f t="shared" si="63"/>
        <v>Startup</v>
      </c>
      <c r="P349" s="4" t="str">
        <f t="shared" si="64"/>
        <v>Unknown</v>
      </c>
      <c r="Q349">
        <f t="shared" si="65"/>
        <v>42227.65</v>
      </c>
      <c r="R349" s="6">
        <f t="shared" si="66"/>
        <v>22852.18</v>
      </c>
      <c r="S349">
        <f t="shared" si="67"/>
        <v>0.3511407451433109</v>
      </c>
      <c r="T349">
        <f t="shared" si="68"/>
        <v>0.58194292902620526</v>
      </c>
      <c r="U349">
        <f t="shared" si="69"/>
        <v>-46752.149999999994</v>
      </c>
      <c r="V349" t="str">
        <f t="shared" si="70"/>
        <v>Profitable</v>
      </c>
      <c r="W349" t="str" cm="1">
        <f t="array" ref="W349">_xlfn.IFS(S349&lt;0,"Loss", S349&lt;0.15,"Low Margin",S349&lt;0.3,"Medium High", TRUE, "High Margin")</f>
        <v>High Margin</v>
      </c>
      <c r="X349" t="str">
        <f t="shared" si="71"/>
        <v>09-2024</v>
      </c>
    </row>
    <row r="350" spans="1:24" x14ac:dyDescent="0.3">
      <c r="A350">
        <v>10126</v>
      </c>
      <c r="B350" s="1">
        <v>45504</v>
      </c>
      <c r="C350" t="s">
        <v>30</v>
      </c>
      <c r="D350" t="s">
        <v>34</v>
      </c>
      <c r="E350" t="s">
        <v>24</v>
      </c>
      <c r="F350" t="s">
        <v>39</v>
      </c>
      <c r="G350" t="s">
        <v>15</v>
      </c>
      <c r="H350" t="s">
        <v>28</v>
      </c>
      <c r="I350">
        <v>25676.86</v>
      </c>
      <c r="J350">
        <v>10840.93</v>
      </c>
      <c r="K350">
        <v>82863.22</v>
      </c>
      <c r="L350" t="str">
        <f t="shared" si="60"/>
        <v>Ankit</v>
      </c>
      <c r="M350" t="str">
        <f t="shared" si="61"/>
        <v>East</v>
      </c>
      <c r="N350" t="str">
        <f t="shared" si="62"/>
        <v>Chennai</v>
      </c>
      <c r="O350" t="str">
        <f t="shared" si="63"/>
        <v>Enterprise</v>
      </c>
      <c r="P350" s="4" t="str">
        <f t="shared" si="64"/>
        <v>Direct</v>
      </c>
      <c r="Q350">
        <f t="shared" si="65"/>
        <v>10840.93</v>
      </c>
      <c r="R350" s="6">
        <f t="shared" si="66"/>
        <v>14835.93</v>
      </c>
      <c r="S350">
        <f t="shared" si="67"/>
        <v>0.57779378008058613</v>
      </c>
      <c r="T350">
        <f t="shared" si="68"/>
        <v>0.30987041053919945</v>
      </c>
      <c r="U350">
        <f t="shared" si="69"/>
        <v>-57186.36</v>
      </c>
      <c r="V350" t="str">
        <f t="shared" si="70"/>
        <v>Profitable</v>
      </c>
      <c r="W350" t="str" cm="1">
        <f t="array" ref="W350">_xlfn.IFS(S350&lt;0,"Loss", S350&lt;0.15,"Low Margin",S350&lt;0.3,"Medium High", TRUE, "High Margin")</f>
        <v>High Margin</v>
      </c>
      <c r="X350" t="str">
        <f t="shared" si="71"/>
        <v>07-2024</v>
      </c>
    </row>
    <row r="351" spans="1:24" x14ac:dyDescent="0.3">
      <c r="A351">
        <v>10392</v>
      </c>
      <c r="B351" s="1">
        <v>45456</v>
      </c>
      <c r="C351" t="s">
        <v>41</v>
      </c>
      <c r="D351" t="s">
        <v>23</v>
      </c>
      <c r="E351" t="s">
        <v>44</v>
      </c>
      <c r="F351" t="s">
        <v>39</v>
      </c>
      <c r="G351" t="s">
        <v>40</v>
      </c>
      <c r="H351" t="s">
        <v>16</v>
      </c>
      <c r="I351">
        <v>123016.56</v>
      </c>
      <c r="J351">
        <v>117115.15</v>
      </c>
      <c r="K351">
        <v>24584.39</v>
      </c>
      <c r="L351" t="str">
        <f t="shared" si="60"/>
        <v>Neha</v>
      </c>
      <c r="M351" t="str">
        <f t="shared" si="61"/>
        <v>West</v>
      </c>
      <c r="N351" t="str">
        <f t="shared" si="62"/>
        <v>Pune</v>
      </c>
      <c r="O351" t="str">
        <f t="shared" si="63"/>
        <v>Enterprise</v>
      </c>
      <c r="P351" s="4" t="str">
        <f t="shared" si="64"/>
        <v>direct</v>
      </c>
      <c r="Q351">
        <f t="shared" si="65"/>
        <v>117115.15</v>
      </c>
      <c r="R351" s="6">
        <f t="shared" si="66"/>
        <v>5901.4100000000035</v>
      </c>
      <c r="S351">
        <f t="shared" si="67"/>
        <v>4.7972484354951918E-2</v>
      </c>
      <c r="T351">
        <f t="shared" si="68"/>
        <v>5.0038483769578992</v>
      </c>
      <c r="U351">
        <f t="shared" si="69"/>
        <v>98432.17</v>
      </c>
      <c r="V351" t="str">
        <f t="shared" si="70"/>
        <v>Profitable</v>
      </c>
      <c r="W351" t="str" cm="1">
        <f t="array" ref="W351">_xlfn.IFS(S351&lt;0,"Loss", S351&lt;0.15,"Low Margin",S351&lt;0.3,"Medium High", TRUE, "High Margin")</f>
        <v>Low Margin</v>
      </c>
      <c r="X351" t="str">
        <f t="shared" si="71"/>
        <v>06-2024</v>
      </c>
    </row>
    <row r="352" spans="1:24" x14ac:dyDescent="0.3">
      <c r="A352">
        <v>10057</v>
      </c>
      <c r="B352" s="1">
        <v>45296</v>
      </c>
      <c r="C352" t="s">
        <v>11</v>
      </c>
      <c r="D352" t="s">
        <v>12</v>
      </c>
      <c r="E352" t="s">
        <v>13</v>
      </c>
      <c r="F352" t="s">
        <v>14</v>
      </c>
      <c r="G352" t="s">
        <v>20</v>
      </c>
      <c r="H352" t="s">
        <v>21</v>
      </c>
      <c r="I352">
        <v>127740.57</v>
      </c>
      <c r="J352">
        <v>98585.95</v>
      </c>
      <c r="K352">
        <v>113320.38</v>
      </c>
      <c r="L352" t="str">
        <f t="shared" si="60"/>
        <v>Rahul</v>
      </c>
      <c r="M352" t="str">
        <f t="shared" si="61"/>
        <v>South</v>
      </c>
      <c r="N352" t="str">
        <f t="shared" si="62"/>
        <v>Bengaluru</v>
      </c>
      <c r="O352" t="str">
        <f t="shared" si="63"/>
        <v>Enterprise</v>
      </c>
      <c r="P352" s="4" t="str">
        <f t="shared" si="64"/>
        <v>Online</v>
      </c>
      <c r="Q352">
        <f t="shared" si="65"/>
        <v>98585.95</v>
      </c>
      <c r="R352" s="6">
        <f t="shared" si="66"/>
        <v>29154.62000000001</v>
      </c>
      <c r="S352">
        <f t="shared" si="67"/>
        <v>0.228233050784101</v>
      </c>
      <c r="T352">
        <f t="shared" si="68"/>
        <v>1.1272515146878257</v>
      </c>
      <c r="U352">
        <f t="shared" si="69"/>
        <v>14420.190000000002</v>
      </c>
      <c r="V352" t="str">
        <f t="shared" si="70"/>
        <v>Profitable</v>
      </c>
      <c r="W352" t="str" cm="1">
        <f t="array" ref="W352">_xlfn.IFS(S352&lt;0,"Loss", S352&lt;0.15,"Low Margin",S352&lt;0.3,"Medium High", TRUE, "High Margin")</f>
        <v>Medium High</v>
      </c>
      <c r="X352" t="str">
        <f t="shared" si="71"/>
        <v>01-2024</v>
      </c>
    </row>
    <row r="353" spans="1:24" x14ac:dyDescent="0.3">
      <c r="A353">
        <v>10512</v>
      </c>
      <c r="B353" s="1">
        <v>45369</v>
      </c>
      <c r="C353" t="s">
        <v>29</v>
      </c>
      <c r="D353" t="s">
        <v>37</v>
      </c>
      <c r="E353" t="s">
        <v>26</v>
      </c>
      <c r="F353" t="s">
        <v>39</v>
      </c>
      <c r="G353" t="s">
        <v>20</v>
      </c>
      <c r="H353" t="s">
        <v>28</v>
      </c>
      <c r="I353">
        <v>132512.93</v>
      </c>
      <c r="J353">
        <v>102748.05</v>
      </c>
      <c r="K353">
        <v>21808.41</v>
      </c>
      <c r="L353" t="str">
        <f t="shared" si="60"/>
        <v>Sneha</v>
      </c>
      <c r="M353" t="str">
        <f t="shared" si="61"/>
        <v>North</v>
      </c>
      <c r="N353" t="str">
        <f t="shared" si="62"/>
        <v>Mumbai</v>
      </c>
      <c r="O353" t="str">
        <f t="shared" si="63"/>
        <v>Enterprise</v>
      </c>
      <c r="P353" s="4" t="str">
        <f t="shared" si="64"/>
        <v>Direct</v>
      </c>
      <c r="Q353">
        <f t="shared" si="65"/>
        <v>102748.05</v>
      </c>
      <c r="R353" s="6">
        <f t="shared" si="66"/>
        <v>29764.87999999999</v>
      </c>
      <c r="S353">
        <f t="shared" si="67"/>
        <v>0.22461868438046001</v>
      </c>
      <c r="T353">
        <f t="shared" si="68"/>
        <v>6.0762306834840318</v>
      </c>
      <c r="U353">
        <f t="shared" si="69"/>
        <v>110704.51999999999</v>
      </c>
      <c r="V353" t="str">
        <f t="shared" si="70"/>
        <v>Profitable</v>
      </c>
      <c r="W353" t="str" cm="1">
        <f t="array" ref="W353">_xlfn.IFS(S353&lt;0,"Loss", S353&lt;0.15,"Low Margin",S353&lt;0.3,"Medium High", TRUE, "High Margin")</f>
        <v>Medium High</v>
      </c>
      <c r="X353" t="str">
        <f t="shared" si="71"/>
        <v>03-2024</v>
      </c>
    </row>
    <row r="354" spans="1:24" x14ac:dyDescent="0.3">
      <c r="A354">
        <v>10095</v>
      </c>
      <c r="B354" s="1">
        <v>45353</v>
      </c>
      <c r="C354" t="s">
        <v>11</v>
      </c>
      <c r="D354" t="s">
        <v>12</v>
      </c>
      <c r="E354" t="s">
        <v>24</v>
      </c>
      <c r="F354" t="s">
        <v>14</v>
      </c>
      <c r="G354" t="s">
        <v>42</v>
      </c>
      <c r="H354" t="s">
        <v>16</v>
      </c>
      <c r="I354">
        <v>59341.19</v>
      </c>
      <c r="J354">
        <v>112741.93</v>
      </c>
      <c r="K354">
        <v>145979.51</v>
      </c>
      <c r="L354" t="str">
        <f t="shared" si="60"/>
        <v>Rahul</v>
      </c>
      <c r="M354" t="str">
        <f t="shared" si="61"/>
        <v>South</v>
      </c>
      <c r="N354" t="str">
        <f t="shared" si="62"/>
        <v>Chennai</v>
      </c>
      <c r="O354" t="str">
        <f t="shared" si="63"/>
        <v>Enterprise</v>
      </c>
      <c r="P354" s="4" t="str">
        <f t="shared" si="64"/>
        <v>direct</v>
      </c>
      <c r="Q354">
        <f t="shared" si="65"/>
        <v>112741.93</v>
      </c>
      <c r="R354" s="6">
        <f t="shared" si="66"/>
        <v>-53400.739999999991</v>
      </c>
      <c r="S354">
        <f t="shared" si="67"/>
        <v>-0.89989331187999411</v>
      </c>
      <c r="T354">
        <f t="shared" si="68"/>
        <v>0.40650355656078035</v>
      </c>
      <c r="U354">
        <f t="shared" si="69"/>
        <v>-86638.32</v>
      </c>
      <c r="V354" t="str">
        <f t="shared" si="70"/>
        <v>Unprofitable</v>
      </c>
      <c r="W354" t="str" cm="1">
        <f t="array" ref="W354">_xlfn.IFS(S354&lt;0,"Loss", S354&lt;0.15,"Low Margin",S354&lt;0.3,"Medium High", TRUE, "High Margin")</f>
        <v>Loss</v>
      </c>
      <c r="X354" t="str">
        <f t="shared" si="71"/>
        <v>03-2024</v>
      </c>
    </row>
    <row r="355" spans="1:24" x14ac:dyDescent="0.3">
      <c r="A355">
        <v>10117</v>
      </c>
      <c r="B355" s="1">
        <v>45423</v>
      </c>
      <c r="C355" t="s">
        <v>30</v>
      </c>
      <c r="D355" t="s">
        <v>31</v>
      </c>
      <c r="E355" t="s">
        <v>26</v>
      </c>
      <c r="F355" t="s">
        <v>14</v>
      </c>
      <c r="G355" t="s">
        <v>43</v>
      </c>
      <c r="H355" t="s">
        <v>28</v>
      </c>
      <c r="I355">
        <v>10901.25</v>
      </c>
      <c r="J355">
        <v>12957.11</v>
      </c>
      <c r="L355" t="str">
        <f t="shared" si="60"/>
        <v>Ankit</v>
      </c>
      <c r="M355" t="str">
        <f t="shared" si="61"/>
        <v>South</v>
      </c>
      <c r="N355" t="str">
        <f t="shared" si="62"/>
        <v>Mumbai</v>
      </c>
      <c r="O355" t="str">
        <f t="shared" si="63"/>
        <v>Enterprise</v>
      </c>
      <c r="P355" s="4" t="str">
        <f t="shared" si="64"/>
        <v>Direct</v>
      </c>
      <c r="Q355">
        <f t="shared" si="65"/>
        <v>12957.11</v>
      </c>
      <c r="R355" s="6">
        <f t="shared" si="66"/>
        <v>-2055.8600000000006</v>
      </c>
      <c r="S355">
        <f t="shared" si="67"/>
        <v>-0.1885893819516111</v>
      </c>
      <c r="T355">
        <f t="shared" si="68"/>
        <v>0</v>
      </c>
      <c r="U355">
        <f t="shared" si="69"/>
        <v>10901.25</v>
      </c>
      <c r="V355" t="str">
        <f t="shared" si="70"/>
        <v>Unprofitable</v>
      </c>
      <c r="W355" t="str" cm="1">
        <f t="array" ref="W355">_xlfn.IFS(S355&lt;0,"Loss", S355&lt;0.15,"Low Margin",S355&lt;0.3,"Medium High", TRUE, "High Margin")</f>
        <v>Loss</v>
      </c>
      <c r="X355" t="str">
        <f t="shared" si="71"/>
        <v>05-2024</v>
      </c>
    </row>
    <row r="356" spans="1:24" x14ac:dyDescent="0.3">
      <c r="A356">
        <v>10559</v>
      </c>
      <c r="B356" s="1">
        <v>45380</v>
      </c>
      <c r="C356" t="s">
        <v>41</v>
      </c>
      <c r="D356" t="s">
        <v>37</v>
      </c>
      <c r="E356" t="s">
        <v>13</v>
      </c>
      <c r="F356" t="s">
        <v>14</v>
      </c>
      <c r="G356" t="s">
        <v>27</v>
      </c>
      <c r="H356" t="s">
        <v>28</v>
      </c>
      <c r="I356">
        <v>193282.95</v>
      </c>
      <c r="K356">
        <v>26441.279999999999</v>
      </c>
      <c r="L356" t="str">
        <f t="shared" si="60"/>
        <v>Neha</v>
      </c>
      <c r="M356" t="str">
        <f t="shared" si="61"/>
        <v>North</v>
      </c>
      <c r="N356" t="str">
        <f t="shared" si="62"/>
        <v>Bengaluru</v>
      </c>
      <c r="O356" t="str">
        <f t="shared" si="63"/>
        <v>Enterprise</v>
      </c>
      <c r="P356" s="4" t="str">
        <f t="shared" si="64"/>
        <v>Direct</v>
      </c>
      <c r="Q356">
        <f t="shared" si="65"/>
        <v>0</v>
      </c>
      <c r="R356" s="6">
        <f t="shared" si="66"/>
        <v>193282.95</v>
      </c>
      <c r="S356">
        <f t="shared" si="67"/>
        <v>1</v>
      </c>
      <c r="T356">
        <f t="shared" si="68"/>
        <v>7.3098938478016198</v>
      </c>
      <c r="U356">
        <f t="shared" si="69"/>
        <v>166841.67000000001</v>
      </c>
      <c r="V356" t="str">
        <f t="shared" si="70"/>
        <v>Profitable</v>
      </c>
      <c r="W356" t="str" cm="1">
        <f t="array" ref="W356">_xlfn.IFS(S356&lt;0,"Loss", S356&lt;0.15,"Low Margin",S356&lt;0.3,"Medium High", TRUE, "High Margin")</f>
        <v>High Margin</v>
      </c>
      <c r="X356" t="str">
        <f t="shared" si="71"/>
        <v>03-2024</v>
      </c>
    </row>
    <row r="357" spans="1:24" x14ac:dyDescent="0.3">
      <c r="A357">
        <v>10487</v>
      </c>
      <c r="B357" s="1">
        <v>45528</v>
      </c>
      <c r="C357" t="s">
        <v>29</v>
      </c>
      <c r="E357" t="s">
        <v>44</v>
      </c>
      <c r="F357" t="s">
        <v>39</v>
      </c>
      <c r="G357" t="s">
        <v>27</v>
      </c>
      <c r="I357">
        <v>56171.46</v>
      </c>
      <c r="J357">
        <v>11311.08</v>
      </c>
      <c r="K357">
        <v>114136.36</v>
      </c>
      <c r="L357" t="str">
        <f t="shared" si="60"/>
        <v>Sneha</v>
      </c>
      <c r="M357" t="str">
        <f t="shared" si="61"/>
        <v>Unknown</v>
      </c>
      <c r="N357" t="str">
        <f t="shared" si="62"/>
        <v>Pune</v>
      </c>
      <c r="O357" t="str">
        <f t="shared" si="63"/>
        <v>Enterprise</v>
      </c>
      <c r="P357" s="4" t="str">
        <f t="shared" si="64"/>
        <v>Unknown</v>
      </c>
      <c r="Q357">
        <f t="shared" si="65"/>
        <v>11311.08</v>
      </c>
      <c r="R357" s="6">
        <f t="shared" si="66"/>
        <v>44860.38</v>
      </c>
      <c r="S357">
        <f t="shared" si="67"/>
        <v>0.79863297126334265</v>
      </c>
      <c r="T357">
        <f t="shared" si="68"/>
        <v>0.49214343264495203</v>
      </c>
      <c r="U357">
        <f t="shared" si="69"/>
        <v>-57964.9</v>
      </c>
      <c r="V357" t="str">
        <f t="shared" si="70"/>
        <v>Profitable</v>
      </c>
      <c r="W357" t="str" cm="1">
        <f t="array" ref="W357">_xlfn.IFS(S357&lt;0,"Loss", S357&lt;0.15,"Low Margin",S357&lt;0.3,"Medium High", TRUE, "High Margin")</f>
        <v>High Margin</v>
      </c>
      <c r="X357" t="str">
        <f t="shared" si="71"/>
        <v>08-2024</v>
      </c>
    </row>
    <row r="358" spans="1:24" x14ac:dyDescent="0.3">
      <c r="A358">
        <v>10236</v>
      </c>
      <c r="B358" s="1">
        <v>45333</v>
      </c>
      <c r="C358" t="s">
        <v>30</v>
      </c>
      <c r="E358" t="s">
        <v>38</v>
      </c>
      <c r="F358" t="s">
        <v>14</v>
      </c>
      <c r="G358" t="s">
        <v>42</v>
      </c>
      <c r="H358" t="s">
        <v>16</v>
      </c>
      <c r="I358">
        <v>137797.04999999999</v>
      </c>
      <c r="J358">
        <v>27662.79</v>
      </c>
      <c r="K358">
        <v>83629.509999999995</v>
      </c>
      <c r="L358" t="str">
        <f t="shared" si="60"/>
        <v>Ankit</v>
      </c>
      <c r="M358" t="str">
        <f t="shared" si="61"/>
        <v>Unknown</v>
      </c>
      <c r="N358" t="str">
        <f t="shared" si="62"/>
        <v>Delhi</v>
      </c>
      <c r="O358" t="str">
        <f t="shared" si="63"/>
        <v>Enterprise</v>
      </c>
      <c r="P358" s="4" t="str">
        <f t="shared" si="64"/>
        <v>direct</v>
      </c>
      <c r="Q358">
        <f t="shared" si="65"/>
        <v>27662.79</v>
      </c>
      <c r="R358" s="6">
        <f t="shared" si="66"/>
        <v>110134.25999999998</v>
      </c>
      <c r="S358">
        <f t="shared" si="67"/>
        <v>0.79924976623229593</v>
      </c>
      <c r="T358">
        <f t="shared" si="68"/>
        <v>1.6477084464562808</v>
      </c>
      <c r="U358">
        <f t="shared" si="69"/>
        <v>54167.539999999994</v>
      </c>
      <c r="V358" t="str">
        <f t="shared" si="70"/>
        <v>Profitable</v>
      </c>
      <c r="W358" t="str" cm="1">
        <f t="array" ref="W358">_xlfn.IFS(S358&lt;0,"Loss", S358&lt;0.15,"Low Margin",S358&lt;0.3,"Medium High", TRUE, "High Margin")</f>
        <v>High Margin</v>
      </c>
      <c r="X358" t="str">
        <f t="shared" si="71"/>
        <v>02-2024</v>
      </c>
    </row>
    <row r="359" spans="1:24" x14ac:dyDescent="0.3">
      <c r="A359">
        <v>10271</v>
      </c>
      <c r="B359" s="1">
        <v>45380</v>
      </c>
      <c r="C359" t="s">
        <v>30</v>
      </c>
      <c r="E359" t="s">
        <v>44</v>
      </c>
      <c r="F359" t="s">
        <v>39</v>
      </c>
      <c r="G359" t="s">
        <v>15</v>
      </c>
      <c r="H359" t="s">
        <v>21</v>
      </c>
      <c r="I359">
        <v>143672.94</v>
      </c>
      <c r="J359">
        <v>29835.8</v>
      </c>
      <c r="K359">
        <v>175808.07</v>
      </c>
      <c r="L359" t="str">
        <f t="shared" si="60"/>
        <v>Ankit</v>
      </c>
      <c r="M359" t="str">
        <f t="shared" si="61"/>
        <v>Unknown</v>
      </c>
      <c r="N359" t="str">
        <f t="shared" si="62"/>
        <v>Pune</v>
      </c>
      <c r="O359" t="str">
        <f t="shared" si="63"/>
        <v>Enterprise</v>
      </c>
      <c r="P359" s="4" t="str">
        <f t="shared" si="64"/>
        <v>Online</v>
      </c>
      <c r="Q359">
        <f t="shared" si="65"/>
        <v>29835.8</v>
      </c>
      <c r="R359" s="6">
        <f t="shared" si="66"/>
        <v>113837.14</v>
      </c>
      <c r="S359">
        <f t="shared" si="67"/>
        <v>0.79233528596268721</v>
      </c>
      <c r="T359">
        <f t="shared" si="68"/>
        <v>0.81721470464922341</v>
      </c>
      <c r="U359">
        <f t="shared" si="69"/>
        <v>-32135.130000000005</v>
      </c>
      <c r="V359" t="str">
        <f t="shared" si="70"/>
        <v>Profitable</v>
      </c>
      <c r="W359" t="str" cm="1">
        <f t="array" ref="W359">_xlfn.IFS(S359&lt;0,"Loss", S359&lt;0.15,"Low Margin",S359&lt;0.3,"Medium High", TRUE, "High Margin")</f>
        <v>High Margin</v>
      </c>
      <c r="X359" t="str">
        <f t="shared" si="71"/>
        <v>03-2024</v>
      </c>
    </row>
    <row r="360" spans="1:24" x14ac:dyDescent="0.3">
      <c r="A360">
        <v>10188</v>
      </c>
      <c r="B360" s="1">
        <v>45395</v>
      </c>
      <c r="C360" t="s">
        <v>36</v>
      </c>
      <c r="D360" t="s">
        <v>34</v>
      </c>
      <c r="E360" t="s">
        <v>38</v>
      </c>
      <c r="F360" t="s">
        <v>14</v>
      </c>
      <c r="G360" t="s">
        <v>43</v>
      </c>
      <c r="H360" t="s">
        <v>21</v>
      </c>
      <c r="I360">
        <v>125121.42</v>
      </c>
      <c r="J360">
        <v>57885.54</v>
      </c>
      <c r="K360">
        <v>107071.79</v>
      </c>
      <c r="L360" t="str">
        <f t="shared" si="60"/>
        <v>Amit</v>
      </c>
      <c r="M360" t="str">
        <f t="shared" si="61"/>
        <v>East</v>
      </c>
      <c r="N360" t="str">
        <f t="shared" si="62"/>
        <v>Delhi</v>
      </c>
      <c r="O360" t="str">
        <f t="shared" si="63"/>
        <v>Enterprise</v>
      </c>
      <c r="P360" s="4" t="str">
        <f t="shared" si="64"/>
        <v>Online</v>
      </c>
      <c r="Q360">
        <f t="shared" si="65"/>
        <v>57885.54</v>
      </c>
      <c r="R360" s="6">
        <f t="shared" si="66"/>
        <v>67235.88</v>
      </c>
      <c r="S360">
        <f t="shared" si="67"/>
        <v>0.53736506507039328</v>
      </c>
      <c r="T360">
        <f t="shared" si="68"/>
        <v>1.1685750280255893</v>
      </c>
      <c r="U360">
        <f t="shared" si="69"/>
        <v>18049.630000000005</v>
      </c>
      <c r="V360" t="str">
        <f t="shared" si="70"/>
        <v>Profitable</v>
      </c>
      <c r="W360" t="str" cm="1">
        <f t="array" ref="W360">_xlfn.IFS(S360&lt;0,"Loss", S360&lt;0.15,"Low Margin",S360&lt;0.3,"Medium High", TRUE, "High Margin")</f>
        <v>High Margin</v>
      </c>
      <c r="X360" t="str">
        <f t="shared" si="71"/>
        <v>04-2024</v>
      </c>
    </row>
    <row r="361" spans="1:24" x14ac:dyDescent="0.3">
      <c r="A361">
        <v>10446</v>
      </c>
      <c r="B361" s="1">
        <v>45305</v>
      </c>
      <c r="C361" t="s">
        <v>41</v>
      </c>
      <c r="D361" t="s">
        <v>12</v>
      </c>
      <c r="E361" t="s">
        <v>13</v>
      </c>
      <c r="G361" t="s">
        <v>40</v>
      </c>
      <c r="H361" t="s">
        <v>16</v>
      </c>
      <c r="I361">
        <v>68078.22</v>
      </c>
      <c r="J361">
        <v>34421.769999999997</v>
      </c>
      <c r="L361" t="str">
        <f t="shared" si="60"/>
        <v>Neha</v>
      </c>
      <c r="M361" t="str">
        <f t="shared" si="61"/>
        <v>South</v>
      </c>
      <c r="N361" t="str">
        <f t="shared" si="62"/>
        <v>Bengaluru</v>
      </c>
      <c r="O361" t="str">
        <f t="shared" si="63"/>
        <v>Unknown</v>
      </c>
      <c r="P361" s="4" t="str">
        <f t="shared" si="64"/>
        <v>direct</v>
      </c>
      <c r="Q361">
        <f t="shared" si="65"/>
        <v>34421.769999999997</v>
      </c>
      <c r="R361" s="6">
        <f t="shared" si="66"/>
        <v>33656.450000000004</v>
      </c>
      <c r="S361">
        <f t="shared" si="67"/>
        <v>0.4943791127323835</v>
      </c>
      <c r="T361">
        <f t="shared" si="68"/>
        <v>0</v>
      </c>
      <c r="U361">
        <f t="shared" si="69"/>
        <v>68078.22</v>
      </c>
      <c r="V361" t="str">
        <f t="shared" si="70"/>
        <v>Profitable</v>
      </c>
      <c r="W361" t="str" cm="1">
        <f t="array" ref="W361">_xlfn.IFS(S361&lt;0,"Loss", S361&lt;0.15,"Low Margin",S361&lt;0.3,"Medium High", TRUE, "High Margin")</f>
        <v>High Margin</v>
      </c>
      <c r="X361" t="str">
        <f t="shared" si="71"/>
        <v>01-2024</v>
      </c>
    </row>
    <row r="362" spans="1:24" x14ac:dyDescent="0.3">
      <c r="A362">
        <v>10580</v>
      </c>
      <c r="B362" s="1">
        <v>45470</v>
      </c>
      <c r="C362" t="s">
        <v>11</v>
      </c>
      <c r="E362" t="s">
        <v>44</v>
      </c>
      <c r="F362" t="s">
        <v>14</v>
      </c>
      <c r="G362" t="s">
        <v>15</v>
      </c>
      <c r="I362">
        <v>60050.48</v>
      </c>
      <c r="J362">
        <v>14814.44</v>
      </c>
      <c r="K362">
        <v>133510.22</v>
      </c>
      <c r="L362" t="str">
        <f t="shared" si="60"/>
        <v>Rahul</v>
      </c>
      <c r="M362" t="str">
        <f t="shared" si="61"/>
        <v>Unknown</v>
      </c>
      <c r="N362" t="str">
        <f t="shared" si="62"/>
        <v>Pune</v>
      </c>
      <c r="O362" t="str">
        <f t="shared" si="63"/>
        <v>Enterprise</v>
      </c>
      <c r="P362" s="4" t="str">
        <f t="shared" si="64"/>
        <v>Unknown</v>
      </c>
      <c r="Q362">
        <f t="shared" si="65"/>
        <v>14814.44</v>
      </c>
      <c r="R362" s="6">
        <f t="shared" si="66"/>
        <v>45236.04</v>
      </c>
      <c r="S362">
        <f t="shared" si="67"/>
        <v>0.75330022341203595</v>
      </c>
      <c r="T362">
        <f t="shared" si="68"/>
        <v>0.44978189684654857</v>
      </c>
      <c r="U362">
        <f t="shared" si="69"/>
        <v>-73459.739999999991</v>
      </c>
      <c r="V362" t="str">
        <f t="shared" si="70"/>
        <v>Profitable</v>
      </c>
      <c r="W362" t="str" cm="1">
        <f t="array" ref="W362">_xlfn.IFS(S362&lt;0,"Loss", S362&lt;0.15,"Low Margin",S362&lt;0.3,"Medium High", TRUE, "High Margin")</f>
        <v>High Margin</v>
      </c>
      <c r="X362" t="str">
        <f t="shared" si="71"/>
        <v>06-2024</v>
      </c>
    </row>
    <row r="363" spans="1:24" x14ac:dyDescent="0.3">
      <c r="A363">
        <v>10246</v>
      </c>
      <c r="B363" s="1">
        <v>45416</v>
      </c>
      <c r="C363" t="s">
        <v>45</v>
      </c>
      <c r="D363" t="s">
        <v>17</v>
      </c>
      <c r="E363" t="s">
        <v>24</v>
      </c>
      <c r="F363" t="s">
        <v>32</v>
      </c>
      <c r="G363" t="s">
        <v>15</v>
      </c>
      <c r="H363" t="s">
        <v>33</v>
      </c>
      <c r="I363">
        <v>122752.31</v>
      </c>
      <c r="J363">
        <v>22596.46</v>
      </c>
      <c r="L363" t="str">
        <f t="shared" si="60"/>
        <v>Rahul</v>
      </c>
      <c r="M363" t="str">
        <f t="shared" si="61"/>
        <v>West</v>
      </c>
      <c r="N363" t="str">
        <f t="shared" si="62"/>
        <v>Chennai</v>
      </c>
      <c r="O363" t="str">
        <f t="shared" si="63"/>
        <v>Smb</v>
      </c>
      <c r="P363" s="4" t="str">
        <f t="shared" si="64"/>
        <v>Partner</v>
      </c>
      <c r="Q363">
        <f t="shared" si="65"/>
        <v>22596.46</v>
      </c>
      <c r="R363" s="6">
        <f t="shared" si="66"/>
        <v>100155.85</v>
      </c>
      <c r="S363">
        <f t="shared" si="67"/>
        <v>0.81591825033679621</v>
      </c>
      <c r="T363">
        <f t="shared" si="68"/>
        <v>0</v>
      </c>
      <c r="U363">
        <f t="shared" si="69"/>
        <v>122752.31</v>
      </c>
      <c r="V363" t="str">
        <f t="shared" si="70"/>
        <v>Profitable</v>
      </c>
      <c r="W363" t="str" cm="1">
        <f t="array" ref="W363">_xlfn.IFS(S363&lt;0,"Loss", S363&lt;0.15,"Low Margin",S363&lt;0.3,"Medium High", TRUE, "High Margin")</f>
        <v>High Margin</v>
      </c>
      <c r="X363" t="str">
        <f t="shared" si="71"/>
        <v>05-2024</v>
      </c>
    </row>
    <row r="364" spans="1:24" x14ac:dyDescent="0.3">
      <c r="A364">
        <v>10075</v>
      </c>
      <c r="B364" s="1">
        <v>45314</v>
      </c>
      <c r="C364" t="s">
        <v>45</v>
      </c>
      <c r="D364" t="s">
        <v>23</v>
      </c>
      <c r="E364" t="s">
        <v>35</v>
      </c>
      <c r="F364" t="s">
        <v>14</v>
      </c>
      <c r="G364" t="s">
        <v>42</v>
      </c>
      <c r="H364" t="s">
        <v>28</v>
      </c>
      <c r="I364">
        <v>174290.36</v>
      </c>
      <c r="J364">
        <v>20231.240000000002</v>
      </c>
      <c r="K364">
        <v>164678.93</v>
      </c>
      <c r="L364" t="str">
        <f t="shared" si="60"/>
        <v>Rahul</v>
      </c>
      <c r="M364" t="str">
        <f t="shared" si="61"/>
        <v>West</v>
      </c>
      <c r="N364" t="str">
        <f t="shared" si="62"/>
        <v>Hyderabad</v>
      </c>
      <c r="O364" t="str">
        <f t="shared" si="63"/>
        <v>Enterprise</v>
      </c>
      <c r="P364" s="4" t="str">
        <f t="shared" si="64"/>
        <v>Direct</v>
      </c>
      <c r="Q364">
        <f t="shared" si="65"/>
        <v>20231.240000000002</v>
      </c>
      <c r="R364" s="6">
        <f t="shared" si="66"/>
        <v>154059.12</v>
      </c>
      <c r="S364">
        <f t="shared" si="67"/>
        <v>0.88392220889325146</v>
      </c>
      <c r="T364">
        <f t="shared" si="68"/>
        <v>1.0583646614657989</v>
      </c>
      <c r="U364">
        <f t="shared" si="69"/>
        <v>9611.429999999993</v>
      </c>
      <c r="V364" t="str">
        <f t="shared" si="70"/>
        <v>Profitable</v>
      </c>
      <c r="W364" t="str" cm="1">
        <f t="array" ref="W364">_xlfn.IFS(S364&lt;0,"Loss", S364&lt;0.15,"Low Margin",S364&lt;0.3,"Medium High", TRUE, "High Margin")</f>
        <v>High Margin</v>
      </c>
      <c r="X364" t="str">
        <f t="shared" si="71"/>
        <v>01-2024</v>
      </c>
    </row>
    <row r="365" spans="1:24" x14ac:dyDescent="0.3">
      <c r="A365">
        <v>10153</v>
      </c>
      <c r="B365" s="1">
        <v>45354</v>
      </c>
      <c r="C365" t="s">
        <v>11</v>
      </c>
      <c r="D365" t="s">
        <v>17</v>
      </c>
      <c r="E365" t="s">
        <v>24</v>
      </c>
      <c r="F365" t="s">
        <v>19</v>
      </c>
      <c r="G365" t="s">
        <v>42</v>
      </c>
      <c r="I365">
        <v>189772.88</v>
      </c>
      <c r="J365">
        <v>116849.99</v>
      </c>
      <c r="K365">
        <v>79955.520000000004</v>
      </c>
      <c r="L365" t="str">
        <f t="shared" si="60"/>
        <v>Rahul</v>
      </c>
      <c r="M365" t="str">
        <f t="shared" si="61"/>
        <v>West</v>
      </c>
      <c r="N365" t="str">
        <f t="shared" si="62"/>
        <v>Chennai</v>
      </c>
      <c r="O365" t="str">
        <f t="shared" si="63"/>
        <v>Startup</v>
      </c>
      <c r="P365" s="4" t="str">
        <f t="shared" si="64"/>
        <v>Unknown</v>
      </c>
      <c r="Q365">
        <f t="shared" si="65"/>
        <v>116849.99</v>
      </c>
      <c r="R365" s="6">
        <f t="shared" si="66"/>
        <v>72922.89</v>
      </c>
      <c r="S365">
        <f t="shared" si="67"/>
        <v>0.38426402128691939</v>
      </c>
      <c r="T365">
        <f t="shared" si="68"/>
        <v>2.373480655244316</v>
      </c>
      <c r="U365">
        <f t="shared" si="69"/>
        <v>109817.36</v>
      </c>
      <c r="V365" t="str">
        <f t="shared" si="70"/>
        <v>Profitable</v>
      </c>
      <c r="W365" t="str" cm="1">
        <f t="array" ref="W365">_xlfn.IFS(S365&lt;0,"Loss", S365&lt;0.15,"Low Margin",S365&lt;0.3,"Medium High", TRUE, "High Margin")</f>
        <v>High Margin</v>
      </c>
      <c r="X365" t="str">
        <f t="shared" si="71"/>
        <v>03-2024</v>
      </c>
    </row>
    <row r="366" spans="1:24" x14ac:dyDescent="0.3">
      <c r="A366">
        <v>10434</v>
      </c>
      <c r="B366" s="1">
        <v>45434</v>
      </c>
      <c r="C366" t="s">
        <v>11</v>
      </c>
      <c r="E366" t="s">
        <v>26</v>
      </c>
      <c r="F366" t="s">
        <v>14</v>
      </c>
      <c r="G366" t="s">
        <v>27</v>
      </c>
      <c r="H366" t="s">
        <v>16</v>
      </c>
      <c r="I366">
        <v>28333.91</v>
      </c>
      <c r="J366">
        <v>91837.22</v>
      </c>
      <c r="K366">
        <v>107978.97</v>
      </c>
      <c r="L366" t="str">
        <f t="shared" si="60"/>
        <v>Rahul</v>
      </c>
      <c r="M366" t="str">
        <f t="shared" si="61"/>
        <v>Unknown</v>
      </c>
      <c r="N366" t="str">
        <f t="shared" si="62"/>
        <v>Mumbai</v>
      </c>
      <c r="O366" t="str">
        <f t="shared" si="63"/>
        <v>Enterprise</v>
      </c>
      <c r="P366" s="4" t="str">
        <f t="shared" si="64"/>
        <v>direct</v>
      </c>
      <c r="Q366">
        <f t="shared" si="65"/>
        <v>91837.22</v>
      </c>
      <c r="R366" s="6">
        <f t="shared" si="66"/>
        <v>-63503.31</v>
      </c>
      <c r="S366">
        <f t="shared" si="67"/>
        <v>-2.2412476781354922</v>
      </c>
      <c r="T366">
        <f t="shared" si="68"/>
        <v>0.26240211404128044</v>
      </c>
      <c r="U366">
        <f t="shared" si="69"/>
        <v>-79645.06</v>
      </c>
      <c r="V366" t="str">
        <f t="shared" si="70"/>
        <v>Unprofitable</v>
      </c>
      <c r="W366" t="str" cm="1">
        <f t="array" ref="W366">_xlfn.IFS(S366&lt;0,"Loss", S366&lt;0.15,"Low Margin",S366&lt;0.3,"Medium High", TRUE, "High Margin")</f>
        <v>Loss</v>
      </c>
      <c r="X366" t="str">
        <f t="shared" si="71"/>
        <v>05-2024</v>
      </c>
    </row>
    <row r="367" spans="1:24" x14ac:dyDescent="0.3">
      <c r="A367">
        <v>10085</v>
      </c>
      <c r="B367" s="1">
        <v>45444</v>
      </c>
      <c r="C367" t="s">
        <v>41</v>
      </c>
      <c r="D367" t="s">
        <v>23</v>
      </c>
      <c r="E367" t="s">
        <v>24</v>
      </c>
      <c r="F367" t="s">
        <v>32</v>
      </c>
      <c r="G367" t="s">
        <v>42</v>
      </c>
      <c r="H367" t="s">
        <v>28</v>
      </c>
      <c r="I367">
        <v>37727.089999999997</v>
      </c>
      <c r="J367">
        <v>116228.09</v>
      </c>
      <c r="K367">
        <v>28091.7</v>
      </c>
      <c r="L367" t="str">
        <f t="shared" si="60"/>
        <v>Neha</v>
      </c>
      <c r="M367" t="str">
        <f t="shared" si="61"/>
        <v>West</v>
      </c>
      <c r="N367" t="str">
        <f t="shared" si="62"/>
        <v>Chennai</v>
      </c>
      <c r="O367" t="str">
        <f t="shared" si="63"/>
        <v>Smb</v>
      </c>
      <c r="P367" s="4" t="str">
        <f t="shared" si="64"/>
        <v>Direct</v>
      </c>
      <c r="Q367">
        <f t="shared" si="65"/>
        <v>116228.09</v>
      </c>
      <c r="R367" s="6">
        <f t="shared" si="66"/>
        <v>-78501</v>
      </c>
      <c r="S367">
        <f t="shared" si="67"/>
        <v>-2.0807594754856527</v>
      </c>
      <c r="T367">
        <f t="shared" si="68"/>
        <v>1.3429977537849256</v>
      </c>
      <c r="U367">
        <f t="shared" si="69"/>
        <v>9635.3899999999958</v>
      </c>
      <c r="V367" t="str">
        <f t="shared" si="70"/>
        <v>Unprofitable</v>
      </c>
      <c r="W367" t="str" cm="1">
        <f t="array" ref="W367">_xlfn.IFS(S367&lt;0,"Loss", S367&lt;0.15,"Low Margin",S367&lt;0.3,"Medium High", TRUE, "High Margin")</f>
        <v>Loss</v>
      </c>
      <c r="X367" t="str">
        <f t="shared" si="71"/>
        <v>06-2024</v>
      </c>
    </row>
    <row r="368" spans="1:24" x14ac:dyDescent="0.3">
      <c r="A368">
        <v>10284</v>
      </c>
      <c r="B368" s="1">
        <v>45436</v>
      </c>
      <c r="C368" t="s">
        <v>11</v>
      </c>
      <c r="D368" t="s">
        <v>31</v>
      </c>
      <c r="E368" t="s">
        <v>13</v>
      </c>
      <c r="F368" t="s">
        <v>32</v>
      </c>
      <c r="G368" t="s">
        <v>42</v>
      </c>
      <c r="H368" t="s">
        <v>21</v>
      </c>
      <c r="I368">
        <v>189389.36</v>
      </c>
      <c r="J368">
        <v>54449.64</v>
      </c>
      <c r="K368">
        <v>88179.4</v>
      </c>
      <c r="L368" t="str">
        <f t="shared" si="60"/>
        <v>Rahul</v>
      </c>
      <c r="M368" t="str">
        <f t="shared" si="61"/>
        <v>South</v>
      </c>
      <c r="N368" t="str">
        <f t="shared" si="62"/>
        <v>Bengaluru</v>
      </c>
      <c r="O368" t="str">
        <f t="shared" si="63"/>
        <v>Smb</v>
      </c>
      <c r="P368" s="4" t="str">
        <f t="shared" si="64"/>
        <v>Online</v>
      </c>
      <c r="Q368">
        <f t="shared" si="65"/>
        <v>54449.64</v>
      </c>
      <c r="R368" s="6">
        <f t="shared" si="66"/>
        <v>134939.71999999997</v>
      </c>
      <c r="S368">
        <f t="shared" si="67"/>
        <v>0.71249894925459367</v>
      </c>
      <c r="T368">
        <f t="shared" si="68"/>
        <v>2.1477732894530921</v>
      </c>
      <c r="U368">
        <f t="shared" si="69"/>
        <v>101209.95999999999</v>
      </c>
      <c r="V368" t="str">
        <f t="shared" si="70"/>
        <v>Profitable</v>
      </c>
      <c r="W368" t="str" cm="1">
        <f t="array" ref="W368">_xlfn.IFS(S368&lt;0,"Loss", S368&lt;0.15,"Low Margin",S368&lt;0.3,"Medium High", TRUE, "High Margin")</f>
        <v>High Margin</v>
      </c>
      <c r="X368" t="str">
        <f t="shared" si="71"/>
        <v>05-2024</v>
      </c>
    </row>
    <row r="369" spans="1:24" x14ac:dyDescent="0.3">
      <c r="A369">
        <v>10219</v>
      </c>
      <c r="B369" s="1">
        <v>45516</v>
      </c>
      <c r="C369" t="s">
        <v>36</v>
      </c>
      <c r="D369" t="s">
        <v>17</v>
      </c>
      <c r="E369" t="s">
        <v>18</v>
      </c>
      <c r="F369" t="s">
        <v>39</v>
      </c>
      <c r="G369" t="s">
        <v>42</v>
      </c>
      <c r="H369" t="s">
        <v>33</v>
      </c>
      <c r="I369">
        <v>149414.76</v>
      </c>
      <c r="J369">
        <v>35569.11</v>
      </c>
      <c r="K369">
        <v>153178.17000000001</v>
      </c>
      <c r="L369" t="str">
        <f t="shared" si="60"/>
        <v>Amit</v>
      </c>
      <c r="M369" t="str">
        <f t="shared" si="61"/>
        <v>West</v>
      </c>
      <c r="N369" t="str">
        <f t="shared" si="62"/>
        <v>Bengaluru</v>
      </c>
      <c r="O369" t="str">
        <f t="shared" si="63"/>
        <v>Enterprise</v>
      </c>
      <c r="P369" s="4" t="str">
        <f t="shared" si="64"/>
        <v>Partner</v>
      </c>
      <c r="Q369">
        <f t="shared" si="65"/>
        <v>35569.11</v>
      </c>
      <c r="R369" s="6">
        <f t="shared" si="66"/>
        <v>113845.65000000001</v>
      </c>
      <c r="S369">
        <f t="shared" si="67"/>
        <v>0.7619437999298061</v>
      </c>
      <c r="T369">
        <f t="shared" si="68"/>
        <v>0.97543115967503724</v>
      </c>
      <c r="U369">
        <f t="shared" si="69"/>
        <v>-3763.4100000000035</v>
      </c>
      <c r="V369" t="str">
        <f t="shared" si="70"/>
        <v>Profitable</v>
      </c>
      <c r="W369" t="str" cm="1">
        <f t="array" ref="W369">_xlfn.IFS(S369&lt;0,"Loss", S369&lt;0.15,"Low Margin",S369&lt;0.3,"Medium High", TRUE, "High Margin")</f>
        <v>High Margin</v>
      </c>
      <c r="X369" t="str">
        <f t="shared" si="71"/>
        <v>08-2024</v>
      </c>
    </row>
    <row r="370" spans="1:24" x14ac:dyDescent="0.3">
      <c r="A370">
        <v>10068</v>
      </c>
      <c r="B370" s="1">
        <v>45395</v>
      </c>
      <c r="C370" t="s">
        <v>29</v>
      </c>
      <c r="D370" t="s">
        <v>12</v>
      </c>
      <c r="E370" t="s">
        <v>26</v>
      </c>
      <c r="G370" t="s">
        <v>27</v>
      </c>
      <c r="H370" t="s">
        <v>21</v>
      </c>
      <c r="I370">
        <v>177534.81</v>
      </c>
      <c r="J370">
        <v>96400.3</v>
      </c>
      <c r="K370">
        <v>148903.81</v>
      </c>
      <c r="L370" t="str">
        <f t="shared" si="60"/>
        <v>Sneha</v>
      </c>
      <c r="M370" t="str">
        <f t="shared" si="61"/>
        <v>South</v>
      </c>
      <c r="N370" t="str">
        <f t="shared" si="62"/>
        <v>Mumbai</v>
      </c>
      <c r="O370" t="str">
        <f t="shared" si="63"/>
        <v>Unknown</v>
      </c>
      <c r="P370" s="4" t="str">
        <f t="shared" si="64"/>
        <v>Online</v>
      </c>
      <c r="Q370">
        <f t="shared" si="65"/>
        <v>96400.3</v>
      </c>
      <c r="R370" s="6">
        <f t="shared" si="66"/>
        <v>81134.509999999995</v>
      </c>
      <c r="S370">
        <f t="shared" si="67"/>
        <v>0.45700620627582839</v>
      </c>
      <c r="T370">
        <f t="shared" si="68"/>
        <v>1.1922784917323472</v>
      </c>
      <c r="U370">
        <f t="shared" si="69"/>
        <v>28631</v>
      </c>
      <c r="V370" t="str">
        <f t="shared" si="70"/>
        <v>Profitable</v>
      </c>
      <c r="W370" t="str" cm="1">
        <f t="array" ref="W370">_xlfn.IFS(S370&lt;0,"Loss", S370&lt;0.15,"Low Margin",S370&lt;0.3,"Medium High", TRUE, "High Margin")</f>
        <v>High Margin</v>
      </c>
      <c r="X370" t="str">
        <f t="shared" si="71"/>
        <v>04-2024</v>
      </c>
    </row>
    <row r="371" spans="1:24" x14ac:dyDescent="0.3">
      <c r="A371">
        <v>10046</v>
      </c>
      <c r="B371" s="1">
        <v>45395</v>
      </c>
      <c r="C371" t="s">
        <v>11</v>
      </c>
      <c r="D371" t="s">
        <v>12</v>
      </c>
      <c r="E371" t="s">
        <v>44</v>
      </c>
      <c r="F371" t="s">
        <v>14</v>
      </c>
      <c r="G371" t="s">
        <v>40</v>
      </c>
      <c r="H371" t="s">
        <v>16</v>
      </c>
      <c r="I371">
        <v>46905.47</v>
      </c>
      <c r="K371">
        <v>55890.97</v>
      </c>
      <c r="L371" t="str">
        <f t="shared" si="60"/>
        <v>Rahul</v>
      </c>
      <c r="M371" t="str">
        <f t="shared" si="61"/>
        <v>South</v>
      </c>
      <c r="N371" t="str">
        <f t="shared" si="62"/>
        <v>Pune</v>
      </c>
      <c r="O371" t="str">
        <f t="shared" si="63"/>
        <v>Enterprise</v>
      </c>
      <c r="P371" s="4" t="str">
        <f t="shared" si="64"/>
        <v>direct</v>
      </c>
      <c r="Q371">
        <f t="shared" si="65"/>
        <v>0</v>
      </c>
      <c r="R371" s="6">
        <f t="shared" si="66"/>
        <v>46905.47</v>
      </c>
      <c r="S371">
        <f t="shared" si="67"/>
        <v>1</v>
      </c>
      <c r="T371">
        <f t="shared" si="68"/>
        <v>0.83923163258751821</v>
      </c>
      <c r="U371">
        <f t="shared" si="69"/>
        <v>-8985.5</v>
      </c>
      <c r="V371" t="str">
        <f t="shared" si="70"/>
        <v>Profitable</v>
      </c>
      <c r="W371" t="str" cm="1">
        <f t="array" ref="W371">_xlfn.IFS(S371&lt;0,"Loss", S371&lt;0.15,"Low Margin",S371&lt;0.3,"Medium High", TRUE, "High Margin")</f>
        <v>High Margin</v>
      </c>
      <c r="X371" t="str">
        <f t="shared" si="71"/>
        <v>04-2024</v>
      </c>
    </row>
    <row r="372" spans="1:24" x14ac:dyDescent="0.3">
      <c r="A372">
        <v>10093</v>
      </c>
      <c r="B372" s="1">
        <v>45330</v>
      </c>
      <c r="C372" t="s">
        <v>45</v>
      </c>
      <c r="D372" t="s">
        <v>17</v>
      </c>
      <c r="E372" t="s">
        <v>26</v>
      </c>
      <c r="F372" t="s">
        <v>39</v>
      </c>
      <c r="G372" t="s">
        <v>40</v>
      </c>
      <c r="H372" t="s">
        <v>28</v>
      </c>
      <c r="I372">
        <v>120816.49</v>
      </c>
      <c r="J372">
        <v>38027.85</v>
      </c>
      <c r="K372">
        <v>56172.65</v>
      </c>
      <c r="L372" t="str">
        <f t="shared" si="60"/>
        <v>Rahul</v>
      </c>
      <c r="M372" t="str">
        <f t="shared" si="61"/>
        <v>West</v>
      </c>
      <c r="N372" t="str">
        <f t="shared" si="62"/>
        <v>Mumbai</v>
      </c>
      <c r="O372" t="str">
        <f t="shared" si="63"/>
        <v>Enterprise</v>
      </c>
      <c r="P372" s="4" t="str">
        <f t="shared" si="64"/>
        <v>Direct</v>
      </c>
      <c r="Q372">
        <f t="shared" si="65"/>
        <v>38027.85</v>
      </c>
      <c r="R372" s="6">
        <f t="shared" si="66"/>
        <v>82788.640000000014</v>
      </c>
      <c r="S372">
        <f t="shared" si="67"/>
        <v>0.68524288364940922</v>
      </c>
      <c r="T372">
        <f t="shared" si="68"/>
        <v>2.1508063087641407</v>
      </c>
      <c r="U372">
        <f t="shared" si="69"/>
        <v>64643.840000000004</v>
      </c>
      <c r="V372" t="str">
        <f t="shared" si="70"/>
        <v>Profitable</v>
      </c>
      <c r="W372" t="str" cm="1">
        <f t="array" ref="W372">_xlfn.IFS(S372&lt;0,"Loss", S372&lt;0.15,"Low Margin",S372&lt;0.3,"Medium High", TRUE, "High Margin")</f>
        <v>High Margin</v>
      </c>
      <c r="X372" t="str">
        <f t="shared" si="71"/>
        <v>02-2024</v>
      </c>
    </row>
    <row r="373" spans="1:24" x14ac:dyDescent="0.3">
      <c r="A373">
        <v>10452</v>
      </c>
      <c r="B373" s="1">
        <v>45489</v>
      </c>
      <c r="C373" t="s">
        <v>11</v>
      </c>
      <c r="E373" t="s">
        <v>35</v>
      </c>
      <c r="G373" t="s">
        <v>42</v>
      </c>
      <c r="H373" t="s">
        <v>16</v>
      </c>
      <c r="I373">
        <v>142618.79999999999</v>
      </c>
      <c r="J373">
        <v>30203.200000000001</v>
      </c>
      <c r="K373">
        <v>150768.85</v>
      </c>
      <c r="L373" t="str">
        <f t="shared" si="60"/>
        <v>Rahul</v>
      </c>
      <c r="M373" t="str">
        <f t="shared" si="61"/>
        <v>Unknown</v>
      </c>
      <c r="N373" t="str">
        <f t="shared" si="62"/>
        <v>Hyderabad</v>
      </c>
      <c r="O373" t="str">
        <f t="shared" si="63"/>
        <v>Unknown</v>
      </c>
      <c r="P373" s="4" t="str">
        <f t="shared" si="64"/>
        <v>direct</v>
      </c>
      <c r="Q373">
        <f t="shared" si="65"/>
        <v>30203.200000000001</v>
      </c>
      <c r="R373" s="6">
        <f t="shared" si="66"/>
        <v>112415.59999999999</v>
      </c>
      <c r="S373">
        <f t="shared" si="67"/>
        <v>0.7882242733777034</v>
      </c>
      <c r="T373">
        <f t="shared" si="68"/>
        <v>0.94594340939789612</v>
      </c>
      <c r="U373">
        <f t="shared" si="69"/>
        <v>-8150.0500000000175</v>
      </c>
      <c r="V373" t="str">
        <f t="shared" si="70"/>
        <v>Profitable</v>
      </c>
      <c r="W373" t="str" cm="1">
        <f t="array" ref="W373">_xlfn.IFS(S373&lt;0,"Loss", S373&lt;0.15,"Low Margin",S373&lt;0.3,"Medium High", TRUE, "High Margin")</f>
        <v>High Margin</v>
      </c>
      <c r="X373" t="str">
        <f t="shared" si="71"/>
        <v>07-2024</v>
      </c>
    </row>
    <row r="374" spans="1:24" x14ac:dyDescent="0.3">
      <c r="A374">
        <v>10203</v>
      </c>
      <c r="B374" s="1">
        <v>45425</v>
      </c>
      <c r="C374" t="s">
        <v>36</v>
      </c>
      <c r="D374" t="s">
        <v>12</v>
      </c>
      <c r="E374" t="s">
        <v>38</v>
      </c>
      <c r="F374" t="s">
        <v>14</v>
      </c>
      <c r="G374" t="s">
        <v>27</v>
      </c>
      <c r="H374" t="s">
        <v>28</v>
      </c>
      <c r="I374">
        <v>138581.48000000001</v>
      </c>
      <c r="J374">
        <v>18172.439999999999</v>
      </c>
      <c r="K374">
        <v>168863.75</v>
      </c>
      <c r="L374" t="str">
        <f t="shared" si="60"/>
        <v>Amit</v>
      </c>
      <c r="M374" t="str">
        <f t="shared" si="61"/>
        <v>South</v>
      </c>
      <c r="N374" t="str">
        <f t="shared" si="62"/>
        <v>Delhi</v>
      </c>
      <c r="O374" t="str">
        <f t="shared" si="63"/>
        <v>Enterprise</v>
      </c>
      <c r="P374" s="4" t="str">
        <f t="shared" si="64"/>
        <v>Direct</v>
      </c>
      <c r="Q374">
        <f t="shared" si="65"/>
        <v>18172.439999999999</v>
      </c>
      <c r="R374" s="6">
        <f t="shared" si="66"/>
        <v>120409.04000000001</v>
      </c>
      <c r="S374">
        <f t="shared" si="67"/>
        <v>0.86886819219999667</v>
      </c>
      <c r="T374">
        <f t="shared" si="68"/>
        <v>0.82067039255020691</v>
      </c>
      <c r="U374">
        <f t="shared" si="69"/>
        <v>-30282.26999999999</v>
      </c>
      <c r="V374" t="str">
        <f t="shared" si="70"/>
        <v>Profitable</v>
      </c>
      <c r="W374" t="str" cm="1">
        <f t="array" ref="W374">_xlfn.IFS(S374&lt;0,"Loss", S374&lt;0.15,"Low Margin",S374&lt;0.3,"Medium High", TRUE, "High Margin")</f>
        <v>High Margin</v>
      </c>
      <c r="X374" t="str">
        <f t="shared" si="71"/>
        <v>05-2024</v>
      </c>
    </row>
    <row r="375" spans="1:24" x14ac:dyDescent="0.3">
      <c r="A375">
        <v>10217</v>
      </c>
      <c r="B375" s="1">
        <v>45358</v>
      </c>
      <c r="D375" t="s">
        <v>31</v>
      </c>
      <c r="E375" t="s">
        <v>44</v>
      </c>
      <c r="F375" t="s">
        <v>19</v>
      </c>
      <c r="G375" t="s">
        <v>40</v>
      </c>
      <c r="I375">
        <v>86365.119999999995</v>
      </c>
      <c r="J375">
        <v>33006.18</v>
      </c>
      <c r="K375">
        <v>35257.75</v>
      </c>
      <c r="L375" t="str">
        <f t="shared" si="60"/>
        <v>Unassigned</v>
      </c>
      <c r="M375" t="str">
        <f t="shared" si="61"/>
        <v>South</v>
      </c>
      <c r="N375" t="str">
        <f t="shared" si="62"/>
        <v>Pune</v>
      </c>
      <c r="O375" t="str">
        <f t="shared" si="63"/>
        <v>Startup</v>
      </c>
      <c r="P375" s="4" t="str">
        <f t="shared" si="64"/>
        <v>Unknown</v>
      </c>
      <c r="Q375">
        <f t="shared" si="65"/>
        <v>33006.18</v>
      </c>
      <c r="R375" s="6">
        <f t="shared" si="66"/>
        <v>53358.939999999995</v>
      </c>
      <c r="S375">
        <f t="shared" si="67"/>
        <v>0.61782974423007808</v>
      </c>
      <c r="T375">
        <f t="shared" si="68"/>
        <v>2.4495357758223366</v>
      </c>
      <c r="U375">
        <f t="shared" si="69"/>
        <v>51107.369999999995</v>
      </c>
      <c r="V375" t="str">
        <f t="shared" si="70"/>
        <v>Profitable</v>
      </c>
      <c r="W375" t="str" cm="1">
        <f t="array" ref="W375">_xlfn.IFS(S375&lt;0,"Loss", S375&lt;0.15,"Low Margin",S375&lt;0.3,"Medium High", TRUE, "High Margin")</f>
        <v>High Margin</v>
      </c>
      <c r="X375" t="str">
        <f t="shared" si="71"/>
        <v>03-2024</v>
      </c>
    </row>
    <row r="376" spans="1:24" x14ac:dyDescent="0.3">
      <c r="A376">
        <v>10473</v>
      </c>
      <c r="B376" s="1">
        <v>45470</v>
      </c>
      <c r="D376" t="s">
        <v>37</v>
      </c>
      <c r="F376" t="s">
        <v>14</v>
      </c>
      <c r="G376" t="s">
        <v>15</v>
      </c>
      <c r="H376" t="s">
        <v>33</v>
      </c>
      <c r="I376">
        <v>10955.82</v>
      </c>
      <c r="J376">
        <v>44572.41</v>
      </c>
      <c r="K376">
        <v>92009.38</v>
      </c>
      <c r="L376" t="str">
        <f t="shared" si="60"/>
        <v>Unassigned</v>
      </c>
      <c r="M376" t="str">
        <f t="shared" si="61"/>
        <v>North</v>
      </c>
      <c r="N376" t="str">
        <f t="shared" si="62"/>
        <v>Unknown</v>
      </c>
      <c r="O376" t="str">
        <f t="shared" si="63"/>
        <v>Enterprise</v>
      </c>
      <c r="P376" s="4" t="str">
        <f t="shared" si="64"/>
        <v>Partner</v>
      </c>
      <c r="Q376">
        <f t="shared" si="65"/>
        <v>44572.41</v>
      </c>
      <c r="R376" s="6">
        <f t="shared" si="66"/>
        <v>-33616.590000000004</v>
      </c>
      <c r="S376">
        <f t="shared" si="67"/>
        <v>-3.0683773555972995</v>
      </c>
      <c r="T376">
        <f t="shared" si="68"/>
        <v>0.11907285974538682</v>
      </c>
      <c r="U376">
        <f t="shared" si="69"/>
        <v>-81053.56</v>
      </c>
      <c r="V376" t="str">
        <f t="shared" si="70"/>
        <v>Unprofitable</v>
      </c>
      <c r="W376" t="str" cm="1">
        <f t="array" ref="W376">_xlfn.IFS(S376&lt;0,"Loss", S376&lt;0.15,"Low Margin",S376&lt;0.3,"Medium High", TRUE, "High Margin")</f>
        <v>Loss</v>
      </c>
      <c r="X376" t="str">
        <f t="shared" si="71"/>
        <v>06-2024</v>
      </c>
    </row>
    <row r="377" spans="1:24" x14ac:dyDescent="0.3">
      <c r="A377">
        <v>10431</v>
      </c>
      <c r="B377" s="1">
        <v>45333</v>
      </c>
      <c r="C377" t="s">
        <v>30</v>
      </c>
      <c r="E377" t="s">
        <v>26</v>
      </c>
      <c r="F377" t="s">
        <v>32</v>
      </c>
      <c r="G377" t="s">
        <v>40</v>
      </c>
      <c r="I377">
        <v>119921.8</v>
      </c>
      <c r="J377">
        <v>81857.320000000007</v>
      </c>
      <c r="K377">
        <v>73992.679999999993</v>
      </c>
      <c r="L377" t="str">
        <f t="shared" si="60"/>
        <v>Ankit</v>
      </c>
      <c r="M377" t="str">
        <f t="shared" si="61"/>
        <v>Unknown</v>
      </c>
      <c r="N377" t="str">
        <f t="shared" si="62"/>
        <v>Mumbai</v>
      </c>
      <c r="O377" t="str">
        <f t="shared" si="63"/>
        <v>Smb</v>
      </c>
      <c r="P377" s="4" t="str">
        <f t="shared" si="64"/>
        <v>Unknown</v>
      </c>
      <c r="Q377">
        <f t="shared" si="65"/>
        <v>81857.320000000007</v>
      </c>
      <c r="R377" s="6">
        <f t="shared" si="66"/>
        <v>38064.479999999996</v>
      </c>
      <c r="S377">
        <f t="shared" si="67"/>
        <v>0.31741084606802095</v>
      </c>
      <c r="T377">
        <f t="shared" si="68"/>
        <v>1.6207251852480544</v>
      </c>
      <c r="U377">
        <f t="shared" si="69"/>
        <v>45929.12000000001</v>
      </c>
      <c r="V377" t="str">
        <f t="shared" si="70"/>
        <v>Profitable</v>
      </c>
      <c r="W377" t="str" cm="1">
        <f t="array" ref="W377">_xlfn.IFS(S377&lt;0,"Loss", S377&lt;0.15,"Low Margin",S377&lt;0.3,"Medium High", TRUE, "High Margin")</f>
        <v>High Margin</v>
      </c>
      <c r="X377" t="str">
        <f t="shared" si="71"/>
        <v>02-2024</v>
      </c>
    </row>
    <row r="378" spans="1:24" x14ac:dyDescent="0.3">
      <c r="A378">
        <v>10340</v>
      </c>
      <c r="B378" s="1">
        <v>45306</v>
      </c>
      <c r="C378" t="s">
        <v>25</v>
      </c>
      <c r="D378" t="s">
        <v>31</v>
      </c>
      <c r="E378" t="s">
        <v>44</v>
      </c>
      <c r="F378" t="s">
        <v>32</v>
      </c>
      <c r="G378" t="s">
        <v>40</v>
      </c>
      <c r="I378">
        <v>56595.5</v>
      </c>
      <c r="J378">
        <v>10320.09</v>
      </c>
      <c r="K378">
        <v>159310.15</v>
      </c>
      <c r="L378" t="str">
        <f t="shared" si="60"/>
        <v>Priya</v>
      </c>
      <c r="M378" t="str">
        <f t="shared" si="61"/>
        <v>South</v>
      </c>
      <c r="N378" t="str">
        <f t="shared" si="62"/>
        <v>Pune</v>
      </c>
      <c r="O378" t="str">
        <f t="shared" si="63"/>
        <v>Smb</v>
      </c>
      <c r="P378" s="4" t="str">
        <f t="shared" si="64"/>
        <v>Unknown</v>
      </c>
      <c r="Q378">
        <f t="shared" si="65"/>
        <v>10320.09</v>
      </c>
      <c r="R378" s="6">
        <f t="shared" si="66"/>
        <v>46275.41</v>
      </c>
      <c r="S378">
        <f t="shared" si="67"/>
        <v>0.81765175676511392</v>
      </c>
      <c r="T378">
        <f t="shared" si="68"/>
        <v>0.35525357298326565</v>
      </c>
      <c r="U378">
        <f t="shared" si="69"/>
        <v>-102714.65</v>
      </c>
      <c r="V378" t="str">
        <f t="shared" si="70"/>
        <v>Profitable</v>
      </c>
      <c r="W378" t="str" cm="1">
        <f t="array" ref="W378">_xlfn.IFS(S378&lt;0,"Loss", S378&lt;0.15,"Low Margin",S378&lt;0.3,"Medium High", TRUE, "High Margin")</f>
        <v>High Margin</v>
      </c>
      <c r="X378" t="str">
        <f t="shared" si="71"/>
        <v>01-2024</v>
      </c>
    </row>
    <row r="379" spans="1:24" x14ac:dyDescent="0.3">
      <c r="A379">
        <v>10550</v>
      </c>
      <c r="B379" s="1">
        <v>45402</v>
      </c>
      <c r="C379" t="s">
        <v>29</v>
      </c>
      <c r="D379" t="s">
        <v>23</v>
      </c>
      <c r="E379" t="s">
        <v>44</v>
      </c>
      <c r="F379" t="s">
        <v>19</v>
      </c>
      <c r="G379" t="s">
        <v>27</v>
      </c>
      <c r="H379" t="s">
        <v>16</v>
      </c>
      <c r="I379">
        <v>94448.82</v>
      </c>
      <c r="J379">
        <v>27629.31</v>
      </c>
      <c r="K379">
        <v>33363.99</v>
      </c>
      <c r="L379" t="str">
        <f t="shared" si="60"/>
        <v>Sneha</v>
      </c>
      <c r="M379" t="str">
        <f t="shared" si="61"/>
        <v>West</v>
      </c>
      <c r="N379" t="str">
        <f t="shared" si="62"/>
        <v>Pune</v>
      </c>
      <c r="O379" t="str">
        <f t="shared" si="63"/>
        <v>Startup</v>
      </c>
      <c r="P379" s="4" t="str">
        <f t="shared" si="64"/>
        <v>direct</v>
      </c>
      <c r="Q379">
        <f t="shared" si="65"/>
        <v>27629.31</v>
      </c>
      <c r="R379" s="6">
        <f t="shared" si="66"/>
        <v>66819.510000000009</v>
      </c>
      <c r="S379">
        <f t="shared" si="67"/>
        <v>0.70746791754518479</v>
      </c>
      <c r="T379">
        <f t="shared" si="68"/>
        <v>2.8308610570857984</v>
      </c>
      <c r="U379">
        <f t="shared" si="69"/>
        <v>61084.830000000009</v>
      </c>
      <c r="V379" t="str">
        <f t="shared" si="70"/>
        <v>Profitable</v>
      </c>
      <c r="W379" t="str" cm="1">
        <f t="array" ref="W379">_xlfn.IFS(S379&lt;0,"Loss", S379&lt;0.15,"Low Margin",S379&lt;0.3,"Medium High", TRUE, "High Margin")</f>
        <v>High Margin</v>
      </c>
      <c r="X379" t="str">
        <f t="shared" si="71"/>
        <v>04-2024</v>
      </c>
    </row>
    <row r="380" spans="1:24" x14ac:dyDescent="0.3">
      <c r="A380">
        <v>10288</v>
      </c>
      <c r="B380" s="1">
        <v>45448</v>
      </c>
      <c r="C380" t="s">
        <v>22</v>
      </c>
      <c r="D380" t="s">
        <v>31</v>
      </c>
      <c r="E380" t="s">
        <v>44</v>
      </c>
      <c r="F380" t="s">
        <v>39</v>
      </c>
      <c r="G380" t="s">
        <v>15</v>
      </c>
      <c r="H380" t="s">
        <v>33</v>
      </c>
      <c r="I380">
        <v>191855.55</v>
      </c>
      <c r="J380">
        <v>97655.77</v>
      </c>
      <c r="L380" t="str">
        <f t="shared" si="60"/>
        <v>Amit</v>
      </c>
      <c r="M380" t="str">
        <f t="shared" si="61"/>
        <v>South</v>
      </c>
      <c r="N380" t="str">
        <f t="shared" si="62"/>
        <v>Pune</v>
      </c>
      <c r="O380" t="str">
        <f t="shared" si="63"/>
        <v>Enterprise</v>
      </c>
      <c r="P380" s="4" t="str">
        <f t="shared" si="64"/>
        <v>Partner</v>
      </c>
      <c r="Q380">
        <f t="shared" si="65"/>
        <v>97655.77</v>
      </c>
      <c r="R380" s="6">
        <f t="shared" si="66"/>
        <v>94199.779999999984</v>
      </c>
      <c r="S380">
        <f t="shared" si="67"/>
        <v>0.49099324986949811</v>
      </c>
      <c r="T380">
        <f t="shared" si="68"/>
        <v>0</v>
      </c>
      <c r="U380">
        <f t="shared" si="69"/>
        <v>191855.55</v>
      </c>
      <c r="V380" t="str">
        <f t="shared" si="70"/>
        <v>Profitable</v>
      </c>
      <c r="W380" t="str" cm="1">
        <f t="array" ref="W380">_xlfn.IFS(S380&lt;0,"Loss", S380&lt;0.15,"Low Margin",S380&lt;0.3,"Medium High", TRUE, "High Margin")</f>
        <v>High Margin</v>
      </c>
      <c r="X380" t="str">
        <f t="shared" si="71"/>
        <v>06-2024</v>
      </c>
    </row>
    <row r="381" spans="1:24" x14ac:dyDescent="0.3">
      <c r="A381">
        <v>10253</v>
      </c>
      <c r="B381" s="1">
        <v>45522</v>
      </c>
      <c r="C381" t="s">
        <v>30</v>
      </c>
      <c r="E381" t="s">
        <v>38</v>
      </c>
      <c r="G381" t="s">
        <v>27</v>
      </c>
      <c r="H381" t="s">
        <v>28</v>
      </c>
      <c r="I381">
        <v>84614.78</v>
      </c>
      <c r="J381">
        <v>20189.87</v>
      </c>
      <c r="K381">
        <v>140394.93</v>
      </c>
      <c r="L381" t="str">
        <f t="shared" si="60"/>
        <v>Ankit</v>
      </c>
      <c r="M381" t="str">
        <f t="shared" si="61"/>
        <v>Unknown</v>
      </c>
      <c r="N381" t="str">
        <f t="shared" si="62"/>
        <v>Delhi</v>
      </c>
      <c r="O381" t="str">
        <f t="shared" si="63"/>
        <v>Unknown</v>
      </c>
      <c r="P381" s="4" t="str">
        <f t="shared" si="64"/>
        <v>Direct</v>
      </c>
      <c r="Q381">
        <f t="shared" si="65"/>
        <v>20189.87</v>
      </c>
      <c r="R381" s="6">
        <f t="shared" si="66"/>
        <v>64424.91</v>
      </c>
      <c r="S381">
        <f t="shared" si="67"/>
        <v>0.76139074048292754</v>
      </c>
      <c r="T381">
        <f t="shared" si="68"/>
        <v>0.60269113706598954</v>
      </c>
      <c r="U381">
        <f t="shared" si="69"/>
        <v>-55780.149999999994</v>
      </c>
      <c r="V381" t="str">
        <f t="shared" si="70"/>
        <v>Profitable</v>
      </c>
      <c r="W381" t="str" cm="1">
        <f t="array" ref="W381">_xlfn.IFS(S381&lt;0,"Loss", S381&lt;0.15,"Low Margin",S381&lt;0.3,"Medium High", TRUE, "High Margin")</f>
        <v>High Margin</v>
      </c>
      <c r="X381" t="str">
        <f t="shared" si="71"/>
        <v>08-2024</v>
      </c>
    </row>
    <row r="382" spans="1:24" x14ac:dyDescent="0.3">
      <c r="A382">
        <v>10356</v>
      </c>
      <c r="B382" s="1">
        <v>45448</v>
      </c>
      <c r="D382" t="s">
        <v>23</v>
      </c>
      <c r="F382" t="s">
        <v>14</v>
      </c>
      <c r="G382" t="s">
        <v>42</v>
      </c>
      <c r="H382" t="s">
        <v>28</v>
      </c>
      <c r="I382">
        <v>169241.91</v>
      </c>
      <c r="J382">
        <v>43089.48</v>
      </c>
      <c r="K382">
        <v>28207.02</v>
      </c>
      <c r="L382" t="str">
        <f t="shared" si="60"/>
        <v>Unassigned</v>
      </c>
      <c r="M382" t="str">
        <f t="shared" si="61"/>
        <v>West</v>
      </c>
      <c r="N382" t="str">
        <f t="shared" si="62"/>
        <v>Unknown</v>
      </c>
      <c r="O382" t="str">
        <f t="shared" si="63"/>
        <v>Enterprise</v>
      </c>
      <c r="P382" s="4" t="str">
        <f t="shared" si="64"/>
        <v>Direct</v>
      </c>
      <c r="Q382">
        <f t="shared" si="65"/>
        <v>43089.48</v>
      </c>
      <c r="R382" s="6">
        <f t="shared" si="66"/>
        <v>126152.43</v>
      </c>
      <c r="S382">
        <f t="shared" si="67"/>
        <v>0.7453971064259437</v>
      </c>
      <c r="T382">
        <f t="shared" si="68"/>
        <v>5.9999925550448081</v>
      </c>
      <c r="U382">
        <f t="shared" si="69"/>
        <v>141034.89000000001</v>
      </c>
      <c r="V382" t="str">
        <f t="shared" si="70"/>
        <v>Profitable</v>
      </c>
      <c r="W382" t="str" cm="1">
        <f t="array" ref="W382">_xlfn.IFS(S382&lt;0,"Loss", S382&lt;0.15,"Low Margin",S382&lt;0.3,"Medium High", TRUE, "High Margin")</f>
        <v>High Margin</v>
      </c>
      <c r="X382" t="str">
        <f t="shared" si="71"/>
        <v>06-2024</v>
      </c>
    </row>
    <row r="383" spans="1:24" x14ac:dyDescent="0.3">
      <c r="A383">
        <v>10022</v>
      </c>
      <c r="B383" s="1">
        <v>45329</v>
      </c>
      <c r="C383" t="s">
        <v>45</v>
      </c>
      <c r="E383" t="s">
        <v>13</v>
      </c>
      <c r="F383" t="s">
        <v>32</v>
      </c>
      <c r="G383" t="s">
        <v>20</v>
      </c>
      <c r="H383" t="s">
        <v>21</v>
      </c>
      <c r="I383">
        <v>44199.8</v>
      </c>
      <c r="K383">
        <v>98805.66</v>
      </c>
      <c r="L383" t="str">
        <f t="shared" si="60"/>
        <v>Rahul</v>
      </c>
      <c r="M383" t="str">
        <f t="shared" si="61"/>
        <v>Unknown</v>
      </c>
      <c r="N383" t="str">
        <f t="shared" si="62"/>
        <v>Bengaluru</v>
      </c>
      <c r="O383" t="str">
        <f t="shared" si="63"/>
        <v>Smb</v>
      </c>
      <c r="P383" s="4" t="str">
        <f t="shared" si="64"/>
        <v>Online</v>
      </c>
      <c r="Q383">
        <f t="shared" si="65"/>
        <v>0</v>
      </c>
      <c r="R383" s="6">
        <f t="shared" si="66"/>
        <v>44199.8</v>
      </c>
      <c r="S383">
        <f t="shared" si="67"/>
        <v>1</v>
      </c>
      <c r="T383">
        <f t="shared" si="68"/>
        <v>0.44734076974942533</v>
      </c>
      <c r="U383">
        <f t="shared" si="69"/>
        <v>-54605.86</v>
      </c>
      <c r="V383" t="str">
        <f t="shared" si="70"/>
        <v>Profitable</v>
      </c>
      <c r="W383" t="str" cm="1">
        <f t="array" ref="W383">_xlfn.IFS(S383&lt;0,"Loss", S383&lt;0.15,"Low Margin",S383&lt;0.3,"Medium High", TRUE, "High Margin")</f>
        <v>High Margin</v>
      </c>
      <c r="X383" t="str">
        <f t="shared" si="71"/>
        <v>02-2024</v>
      </c>
    </row>
    <row r="384" spans="1:24" x14ac:dyDescent="0.3">
      <c r="A384">
        <v>10521</v>
      </c>
      <c r="B384" s="1">
        <v>45388</v>
      </c>
      <c r="C384" t="s">
        <v>22</v>
      </c>
      <c r="D384" t="s">
        <v>12</v>
      </c>
      <c r="E384" t="s">
        <v>24</v>
      </c>
      <c r="F384" t="s">
        <v>39</v>
      </c>
      <c r="G384" t="s">
        <v>40</v>
      </c>
      <c r="H384" t="s">
        <v>28</v>
      </c>
      <c r="I384">
        <v>137112.42000000001</v>
      </c>
      <c r="J384">
        <v>21126.26</v>
      </c>
      <c r="K384">
        <v>90737.13</v>
      </c>
      <c r="L384" t="str">
        <f t="shared" si="60"/>
        <v>Amit</v>
      </c>
      <c r="M384" t="str">
        <f t="shared" si="61"/>
        <v>South</v>
      </c>
      <c r="N384" t="str">
        <f t="shared" si="62"/>
        <v>Chennai</v>
      </c>
      <c r="O384" t="str">
        <f t="shared" si="63"/>
        <v>Enterprise</v>
      </c>
      <c r="P384" s="4" t="str">
        <f t="shared" si="64"/>
        <v>Direct</v>
      </c>
      <c r="Q384">
        <f t="shared" si="65"/>
        <v>21126.26</v>
      </c>
      <c r="R384" s="6">
        <f t="shared" si="66"/>
        <v>115986.16000000002</v>
      </c>
      <c r="S384">
        <f t="shared" si="67"/>
        <v>0.84592015807174881</v>
      </c>
      <c r="T384">
        <f t="shared" si="68"/>
        <v>1.5110949618970757</v>
      </c>
      <c r="U384">
        <f t="shared" si="69"/>
        <v>46375.290000000008</v>
      </c>
      <c r="V384" t="str">
        <f t="shared" si="70"/>
        <v>Profitable</v>
      </c>
      <c r="W384" t="str" cm="1">
        <f t="array" ref="W384">_xlfn.IFS(S384&lt;0,"Loss", S384&lt;0.15,"Low Margin",S384&lt;0.3,"Medium High", TRUE, "High Margin")</f>
        <v>High Margin</v>
      </c>
      <c r="X384" t="str">
        <f t="shared" si="71"/>
        <v>04-2024</v>
      </c>
    </row>
    <row r="385" spans="1:24" x14ac:dyDescent="0.3">
      <c r="A385">
        <v>10099</v>
      </c>
      <c r="B385" s="1">
        <v>45545</v>
      </c>
      <c r="C385" t="s">
        <v>30</v>
      </c>
      <c r="D385" t="s">
        <v>37</v>
      </c>
      <c r="E385" t="s">
        <v>44</v>
      </c>
      <c r="F385" t="s">
        <v>19</v>
      </c>
      <c r="G385" t="s">
        <v>20</v>
      </c>
      <c r="H385" t="s">
        <v>16</v>
      </c>
      <c r="I385">
        <v>195585.34</v>
      </c>
      <c r="K385">
        <v>73504.19</v>
      </c>
      <c r="L385" t="str">
        <f t="shared" si="60"/>
        <v>Ankit</v>
      </c>
      <c r="M385" t="str">
        <f t="shared" si="61"/>
        <v>North</v>
      </c>
      <c r="N385" t="str">
        <f t="shared" si="62"/>
        <v>Pune</v>
      </c>
      <c r="O385" t="str">
        <f t="shared" si="63"/>
        <v>Startup</v>
      </c>
      <c r="P385" s="4" t="str">
        <f t="shared" si="64"/>
        <v>direct</v>
      </c>
      <c r="Q385">
        <f t="shared" si="65"/>
        <v>0</v>
      </c>
      <c r="R385" s="6">
        <f t="shared" si="66"/>
        <v>195585.34</v>
      </c>
      <c r="S385">
        <f t="shared" si="67"/>
        <v>1</v>
      </c>
      <c r="T385">
        <f t="shared" si="68"/>
        <v>2.6608733461316967</v>
      </c>
      <c r="U385">
        <f t="shared" si="69"/>
        <v>122081.15</v>
      </c>
      <c r="V385" t="str">
        <f t="shared" si="70"/>
        <v>Profitable</v>
      </c>
      <c r="W385" t="str" cm="1">
        <f t="array" ref="W385">_xlfn.IFS(S385&lt;0,"Loss", S385&lt;0.15,"Low Margin",S385&lt;0.3,"Medium High", TRUE, "High Margin")</f>
        <v>High Margin</v>
      </c>
      <c r="X385" t="str">
        <f t="shared" si="71"/>
        <v>09-2024</v>
      </c>
    </row>
    <row r="386" spans="1:24" x14ac:dyDescent="0.3">
      <c r="A386">
        <v>10179</v>
      </c>
      <c r="B386" s="1">
        <v>45487</v>
      </c>
      <c r="C386" t="s">
        <v>22</v>
      </c>
      <c r="E386" t="s">
        <v>18</v>
      </c>
      <c r="F386" t="s">
        <v>32</v>
      </c>
      <c r="G386" t="s">
        <v>27</v>
      </c>
      <c r="I386">
        <v>27563.48</v>
      </c>
      <c r="J386">
        <v>59690.95</v>
      </c>
      <c r="K386">
        <v>83131.570000000007</v>
      </c>
      <c r="L386" t="str">
        <f t="shared" si="60"/>
        <v>Amit</v>
      </c>
      <c r="M386" t="str">
        <f t="shared" si="61"/>
        <v>Unknown</v>
      </c>
      <c r="N386" t="str">
        <f t="shared" si="62"/>
        <v>Bengaluru</v>
      </c>
      <c r="O386" t="str">
        <f t="shared" si="63"/>
        <v>Smb</v>
      </c>
      <c r="P386" s="4" t="str">
        <f t="shared" si="64"/>
        <v>Unknown</v>
      </c>
      <c r="Q386">
        <f t="shared" si="65"/>
        <v>59690.95</v>
      </c>
      <c r="R386" s="6">
        <f t="shared" si="66"/>
        <v>-32127.469999999998</v>
      </c>
      <c r="S386">
        <f t="shared" si="67"/>
        <v>-1.1655810514492364</v>
      </c>
      <c r="T386">
        <f t="shared" si="68"/>
        <v>0.33156453077934167</v>
      </c>
      <c r="U386">
        <f t="shared" si="69"/>
        <v>-55568.090000000011</v>
      </c>
      <c r="V386" t="str">
        <f t="shared" si="70"/>
        <v>Unprofitable</v>
      </c>
      <c r="W386" t="str" cm="1">
        <f t="array" ref="W386">_xlfn.IFS(S386&lt;0,"Loss", S386&lt;0.15,"Low Margin",S386&lt;0.3,"Medium High", TRUE, "High Margin")</f>
        <v>Loss</v>
      </c>
      <c r="X386" t="str">
        <f t="shared" si="71"/>
        <v>07-2024</v>
      </c>
    </row>
    <row r="387" spans="1:24" x14ac:dyDescent="0.3">
      <c r="A387">
        <v>10222</v>
      </c>
      <c r="B387" s="1">
        <v>45377</v>
      </c>
      <c r="C387" t="s">
        <v>41</v>
      </c>
      <c r="E387" t="s">
        <v>13</v>
      </c>
      <c r="F387" t="s">
        <v>19</v>
      </c>
      <c r="G387" t="s">
        <v>27</v>
      </c>
      <c r="I387">
        <v>9597.43</v>
      </c>
      <c r="J387">
        <v>38383.08</v>
      </c>
      <c r="K387">
        <v>104790.49</v>
      </c>
      <c r="L387" t="str">
        <f t="shared" ref="L387:L450" si="72">IF(TRIM(C387)="","Unassigned", PROPER(TRIM(C387)))</f>
        <v>Neha</v>
      </c>
      <c r="M387" t="str">
        <f t="shared" ref="M387:M450" si="73">IF(TRIM(D387)="","Unknown",PROPER(TRIM(D387)))</f>
        <v>Unknown</v>
      </c>
      <c r="N387" t="str">
        <f t="shared" ref="N387:N450" si="74">IF(TRIM(E387)="","Unknown", PROPER(TRIM(E387)))</f>
        <v>Bengaluru</v>
      </c>
      <c r="O387" t="str">
        <f t="shared" ref="O387:O450" si="75">IF(TRIM(F387)="","Unknown",PROPER(TRIM(F387)))</f>
        <v>Startup</v>
      </c>
      <c r="P387" s="4" t="str">
        <f t="shared" ref="P387:P450" si="76">IF(TRIM(H387)="","Unknown",TRIM(H387))</f>
        <v>Unknown</v>
      </c>
      <c r="Q387">
        <f t="shared" ref="Q387:Q450" si="77">IFERROR(J387,0)</f>
        <v>38383.08</v>
      </c>
      <c r="R387" s="6">
        <f t="shared" ref="R387:R450" si="78">I387-Q387</f>
        <v>-28785.65</v>
      </c>
      <c r="S387">
        <f t="shared" ref="S387:S450" si="79">IFERROR(R387/I387,0)</f>
        <v>-2.9993081481188195</v>
      </c>
      <c r="T387">
        <f t="shared" ref="T387:T450" si="80">IFERROR(I387/K387,0)</f>
        <v>9.158684151586656E-2</v>
      </c>
      <c r="U387">
        <f t="shared" ref="U387:U450" si="81">I387-K387</f>
        <v>-95193.06</v>
      </c>
      <c r="V387" t="str">
        <f t="shared" ref="V387:V450" si="82">IF(R387&lt;0,"Unprofitable","Profitable")</f>
        <v>Unprofitable</v>
      </c>
      <c r="W387" t="str" cm="1">
        <f t="array" ref="W387">_xlfn.IFS(S387&lt;0,"Loss", S387&lt;0.15,"Low Margin",S387&lt;0.3,"Medium High", TRUE, "High Margin")</f>
        <v>Loss</v>
      </c>
      <c r="X387" t="str">
        <f t="shared" ref="X387:X450" si="83">TEXT(B387,"MM-YYYY")</f>
        <v>03-2024</v>
      </c>
    </row>
    <row r="388" spans="1:24" x14ac:dyDescent="0.3">
      <c r="A388">
        <v>10441</v>
      </c>
      <c r="B388" s="1">
        <v>45301</v>
      </c>
      <c r="C388" t="s">
        <v>25</v>
      </c>
      <c r="D388" t="s">
        <v>12</v>
      </c>
      <c r="E388" t="s">
        <v>35</v>
      </c>
      <c r="F388" t="s">
        <v>14</v>
      </c>
      <c r="G388" t="s">
        <v>27</v>
      </c>
      <c r="I388">
        <v>91247.9</v>
      </c>
      <c r="J388">
        <v>68918.78</v>
      </c>
      <c r="K388">
        <v>45818.78</v>
      </c>
      <c r="L388" t="str">
        <f t="shared" si="72"/>
        <v>Priya</v>
      </c>
      <c r="M388" t="str">
        <f t="shared" si="73"/>
        <v>South</v>
      </c>
      <c r="N388" t="str">
        <f t="shared" si="74"/>
        <v>Hyderabad</v>
      </c>
      <c r="O388" t="str">
        <f t="shared" si="75"/>
        <v>Enterprise</v>
      </c>
      <c r="P388" s="4" t="str">
        <f t="shared" si="76"/>
        <v>Unknown</v>
      </c>
      <c r="Q388">
        <f t="shared" si="77"/>
        <v>68918.78</v>
      </c>
      <c r="R388" s="6">
        <f t="shared" si="78"/>
        <v>22329.119999999995</v>
      </c>
      <c r="S388">
        <f t="shared" si="79"/>
        <v>0.24470831657495676</v>
      </c>
      <c r="T388">
        <f t="shared" si="80"/>
        <v>1.9914956269023312</v>
      </c>
      <c r="U388">
        <f t="shared" si="81"/>
        <v>45429.119999999995</v>
      </c>
      <c r="V388" t="str">
        <f t="shared" si="82"/>
        <v>Profitable</v>
      </c>
      <c r="W388" t="str" cm="1">
        <f t="array" ref="W388">_xlfn.IFS(S388&lt;0,"Loss", S388&lt;0.15,"Low Margin",S388&lt;0.3,"Medium High", TRUE, "High Margin")</f>
        <v>Medium High</v>
      </c>
      <c r="X388" t="str">
        <f t="shared" si="83"/>
        <v>01-2024</v>
      </c>
    </row>
    <row r="389" spans="1:24" x14ac:dyDescent="0.3">
      <c r="A389">
        <v>10324</v>
      </c>
      <c r="B389" s="1">
        <v>45296</v>
      </c>
      <c r="C389" t="s">
        <v>41</v>
      </c>
      <c r="D389" t="s">
        <v>34</v>
      </c>
      <c r="E389" t="s">
        <v>38</v>
      </c>
      <c r="G389" t="s">
        <v>20</v>
      </c>
      <c r="H389" t="s">
        <v>33</v>
      </c>
      <c r="I389">
        <v>25784.09</v>
      </c>
      <c r="J389">
        <v>97045.17</v>
      </c>
      <c r="K389">
        <v>111519.34</v>
      </c>
      <c r="L389" t="str">
        <f t="shared" si="72"/>
        <v>Neha</v>
      </c>
      <c r="M389" t="str">
        <f t="shared" si="73"/>
        <v>East</v>
      </c>
      <c r="N389" t="str">
        <f t="shared" si="74"/>
        <v>Delhi</v>
      </c>
      <c r="O389" t="str">
        <f t="shared" si="75"/>
        <v>Unknown</v>
      </c>
      <c r="P389" s="4" t="str">
        <f t="shared" si="76"/>
        <v>Partner</v>
      </c>
      <c r="Q389">
        <f t="shared" si="77"/>
        <v>97045.17</v>
      </c>
      <c r="R389" s="6">
        <f t="shared" si="78"/>
        <v>-71261.08</v>
      </c>
      <c r="S389">
        <f t="shared" si="79"/>
        <v>-2.7637616840462473</v>
      </c>
      <c r="T389">
        <f t="shared" si="80"/>
        <v>0.23120734035908033</v>
      </c>
      <c r="U389">
        <f t="shared" si="81"/>
        <v>-85735.25</v>
      </c>
      <c r="V389" t="str">
        <f t="shared" si="82"/>
        <v>Unprofitable</v>
      </c>
      <c r="W389" t="str" cm="1">
        <f t="array" ref="W389">_xlfn.IFS(S389&lt;0,"Loss", S389&lt;0.15,"Low Margin",S389&lt;0.3,"Medium High", TRUE, "High Margin")</f>
        <v>Loss</v>
      </c>
      <c r="X389" t="str">
        <f t="shared" si="83"/>
        <v>01-2024</v>
      </c>
    </row>
    <row r="390" spans="1:24" x14ac:dyDescent="0.3">
      <c r="A390">
        <v>10515</v>
      </c>
      <c r="B390" s="1">
        <v>45414</v>
      </c>
      <c r="C390" t="s">
        <v>22</v>
      </c>
      <c r="D390" t="s">
        <v>12</v>
      </c>
      <c r="E390" t="s">
        <v>26</v>
      </c>
      <c r="F390" t="s">
        <v>32</v>
      </c>
      <c r="G390" t="s">
        <v>27</v>
      </c>
      <c r="H390" t="s">
        <v>28</v>
      </c>
      <c r="I390">
        <v>151689.79999999999</v>
      </c>
      <c r="J390">
        <v>19046.37</v>
      </c>
      <c r="K390">
        <v>148869.17000000001</v>
      </c>
      <c r="L390" t="str">
        <f t="shared" si="72"/>
        <v>Amit</v>
      </c>
      <c r="M390" t="str">
        <f t="shared" si="73"/>
        <v>South</v>
      </c>
      <c r="N390" t="str">
        <f t="shared" si="74"/>
        <v>Mumbai</v>
      </c>
      <c r="O390" t="str">
        <f t="shared" si="75"/>
        <v>Smb</v>
      </c>
      <c r="P390" s="4" t="str">
        <f t="shared" si="76"/>
        <v>Direct</v>
      </c>
      <c r="Q390">
        <f t="shared" si="77"/>
        <v>19046.37</v>
      </c>
      <c r="R390" s="6">
        <f t="shared" si="78"/>
        <v>132643.43</v>
      </c>
      <c r="S390">
        <f t="shared" si="79"/>
        <v>0.87443869001079833</v>
      </c>
      <c r="T390">
        <f t="shared" si="80"/>
        <v>1.0189470392022739</v>
      </c>
      <c r="U390">
        <f t="shared" si="81"/>
        <v>2820.6299999999756</v>
      </c>
      <c r="V390" t="str">
        <f t="shared" si="82"/>
        <v>Profitable</v>
      </c>
      <c r="W390" t="str" cm="1">
        <f t="array" ref="W390">_xlfn.IFS(S390&lt;0,"Loss", S390&lt;0.15,"Low Margin",S390&lt;0.3,"Medium High", TRUE, "High Margin")</f>
        <v>High Margin</v>
      </c>
      <c r="X390" t="str">
        <f t="shared" si="83"/>
        <v>05-2024</v>
      </c>
    </row>
    <row r="391" spans="1:24" x14ac:dyDescent="0.3">
      <c r="A391">
        <v>10015</v>
      </c>
      <c r="B391" s="1">
        <v>45409</v>
      </c>
      <c r="C391" t="s">
        <v>41</v>
      </c>
      <c r="D391" t="s">
        <v>23</v>
      </c>
      <c r="E391" t="s">
        <v>38</v>
      </c>
      <c r="F391" t="s">
        <v>32</v>
      </c>
      <c r="G391" t="s">
        <v>42</v>
      </c>
      <c r="H391" t="s">
        <v>16</v>
      </c>
      <c r="I391">
        <v>183593.34</v>
      </c>
      <c r="J391">
        <v>70941.789999999994</v>
      </c>
      <c r="K391">
        <v>141625.75</v>
      </c>
      <c r="L391" t="str">
        <f t="shared" si="72"/>
        <v>Neha</v>
      </c>
      <c r="M391" t="str">
        <f t="shared" si="73"/>
        <v>West</v>
      </c>
      <c r="N391" t="str">
        <f t="shared" si="74"/>
        <v>Delhi</v>
      </c>
      <c r="O391" t="str">
        <f t="shared" si="75"/>
        <v>Smb</v>
      </c>
      <c r="P391" s="4" t="str">
        <f t="shared" si="76"/>
        <v>direct</v>
      </c>
      <c r="Q391">
        <f t="shared" si="77"/>
        <v>70941.789999999994</v>
      </c>
      <c r="R391" s="6">
        <f t="shared" si="78"/>
        <v>112651.55</v>
      </c>
      <c r="S391">
        <f t="shared" si="79"/>
        <v>0.6135927915467958</v>
      </c>
      <c r="T391">
        <f t="shared" si="80"/>
        <v>1.2963273980896834</v>
      </c>
      <c r="U391">
        <f t="shared" si="81"/>
        <v>41967.59</v>
      </c>
      <c r="V391" t="str">
        <f t="shared" si="82"/>
        <v>Profitable</v>
      </c>
      <c r="W391" t="str" cm="1">
        <f t="array" ref="W391">_xlfn.IFS(S391&lt;0,"Loss", S391&lt;0.15,"Low Margin",S391&lt;0.3,"Medium High", TRUE, "High Margin")</f>
        <v>High Margin</v>
      </c>
      <c r="X391" t="str">
        <f t="shared" si="83"/>
        <v>04-2024</v>
      </c>
    </row>
    <row r="392" spans="1:24" x14ac:dyDescent="0.3">
      <c r="A392">
        <v>10335</v>
      </c>
      <c r="B392" s="1">
        <v>45450</v>
      </c>
      <c r="C392" t="s">
        <v>36</v>
      </c>
      <c r="D392" t="s">
        <v>12</v>
      </c>
      <c r="E392" t="s">
        <v>26</v>
      </c>
      <c r="F392" t="s">
        <v>14</v>
      </c>
      <c r="G392" t="s">
        <v>27</v>
      </c>
      <c r="H392" t="s">
        <v>33</v>
      </c>
      <c r="I392">
        <v>91332.03</v>
      </c>
      <c r="K392">
        <v>44623.98</v>
      </c>
      <c r="L392" t="str">
        <f t="shared" si="72"/>
        <v>Amit</v>
      </c>
      <c r="M392" t="str">
        <f t="shared" si="73"/>
        <v>South</v>
      </c>
      <c r="N392" t="str">
        <f t="shared" si="74"/>
        <v>Mumbai</v>
      </c>
      <c r="O392" t="str">
        <f t="shared" si="75"/>
        <v>Enterprise</v>
      </c>
      <c r="P392" s="4" t="str">
        <f t="shared" si="76"/>
        <v>Partner</v>
      </c>
      <c r="Q392">
        <f t="shared" si="77"/>
        <v>0</v>
      </c>
      <c r="R392" s="6">
        <f t="shared" si="78"/>
        <v>91332.03</v>
      </c>
      <c r="S392">
        <f t="shared" si="79"/>
        <v>1</v>
      </c>
      <c r="T392">
        <f t="shared" si="80"/>
        <v>2.0467029162347239</v>
      </c>
      <c r="U392">
        <f t="shared" si="81"/>
        <v>46708.049999999996</v>
      </c>
      <c r="V392" t="str">
        <f t="shared" si="82"/>
        <v>Profitable</v>
      </c>
      <c r="W392" t="str" cm="1">
        <f t="array" ref="W392">_xlfn.IFS(S392&lt;0,"Loss", S392&lt;0.15,"Low Margin",S392&lt;0.3,"Medium High", TRUE, "High Margin")</f>
        <v>High Margin</v>
      </c>
      <c r="X392" t="str">
        <f t="shared" si="83"/>
        <v>06-2024</v>
      </c>
    </row>
    <row r="393" spans="1:24" x14ac:dyDescent="0.3">
      <c r="A393">
        <v>10257</v>
      </c>
      <c r="B393" s="1">
        <v>45519</v>
      </c>
      <c r="D393" t="s">
        <v>12</v>
      </c>
      <c r="E393" t="s">
        <v>38</v>
      </c>
      <c r="F393" t="s">
        <v>39</v>
      </c>
      <c r="G393" t="s">
        <v>43</v>
      </c>
      <c r="H393" t="s">
        <v>21</v>
      </c>
      <c r="I393">
        <v>57672.639999999999</v>
      </c>
      <c r="J393">
        <v>19857.22</v>
      </c>
      <c r="K393">
        <v>43879.92</v>
      </c>
      <c r="L393" t="str">
        <f t="shared" si="72"/>
        <v>Unassigned</v>
      </c>
      <c r="M393" t="str">
        <f t="shared" si="73"/>
        <v>South</v>
      </c>
      <c r="N393" t="str">
        <f t="shared" si="74"/>
        <v>Delhi</v>
      </c>
      <c r="O393" t="str">
        <f t="shared" si="75"/>
        <v>Enterprise</v>
      </c>
      <c r="P393" s="4" t="str">
        <f t="shared" si="76"/>
        <v>Online</v>
      </c>
      <c r="Q393">
        <f t="shared" si="77"/>
        <v>19857.22</v>
      </c>
      <c r="R393" s="6">
        <f t="shared" si="78"/>
        <v>37815.42</v>
      </c>
      <c r="S393">
        <f t="shared" si="79"/>
        <v>0.65569080936818569</v>
      </c>
      <c r="T393">
        <f t="shared" si="80"/>
        <v>1.314328740799892</v>
      </c>
      <c r="U393">
        <f t="shared" si="81"/>
        <v>13792.720000000001</v>
      </c>
      <c r="V393" t="str">
        <f t="shared" si="82"/>
        <v>Profitable</v>
      </c>
      <c r="W393" t="str" cm="1">
        <f t="array" ref="W393">_xlfn.IFS(S393&lt;0,"Loss", S393&lt;0.15,"Low Margin",S393&lt;0.3,"Medium High", TRUE, "High Margin")</f>
        <v>High Margin</v>
      </c>
      <c r="X393" t="str">
        <f t="shared" si="83"/>
        <v>08-2024</v>
      </c>
    </row>
    <row r="394" spans="1:24" x14ac:dyDescent="0.3">
      <c r="A394">
        <v>10496</v>
      </c>
      <c r="B394" s="1">
        <v>45507</v>
      </c>
      <c r="C394" t="s">
        <v>36</v>
      </c>
      <c r="D394" t="s">
        <v>37</v>
      </c>
      <c r="E394" t="s">
        <v>26</v>
      </c>
      <c r="G394" t="s">
        <v>20</v>
      </c>
      <c r="H394" t="s">
        <v>16</v>
      </c>
      <c r="I394">
        <v>91405.440000000002</v>
      </c>
      <c r="K394">
        <v>62907.9</v>
      </c>
      <c r="L394" t="str">
        <f t="shared" si="72"/>
        <v>Amit</v>
      </c>
      <c r="M394" t="str">
        <f t="shared" si="73"/>
        <v>North</v>
      </c>
      <c r="N394" t="str">
        <f t="shared" si="74"/>
        <v>Mumbai</v>
      </c>
      <c r="O394" t="str">
        <f t="shared" si="75"/>
        <v>Unknown</v>
      </c>
      <c r="P394" s="4" t="str">
        <f t="shared" si="76"/>
        <v>direct</v>
      </c>
      <c r="Q394">
        <f t="shared" si="77"/>
        <v>0</v>
      </c>
      <c r="R394" s="6">
        <f t="shared" si="78"/>
        <v>91405.440000000002</v>
      </c>
      <c r="S394">
        <f t="shared" si="79"/>
        <v>1</v>
      </c>
      <c r="T394">
        <f t="shared" si="80"/>
        <v>1.4530041536913487</v>
      </c>
      <c r="U394">
        <f t="shared" si="81"/>
        <v>28497.54</v>
      </c>
      <c r="V394" t="str">
        <f t="shared" si="82"/>
        <v>Profitable</v>
      </c>
      <c r="W394" t="str" cm="1">
        <f t="array" ref="W394">_xlfn.IFS(S394&lt;0,"Loss", S394&lt;0.15,"Low Margin",S394&lt;0.3,"Medium High", TRUE, "High Margin")</f>
        <v>High Margin</v>
      </c>
      <c r="X394" t="str">
        <f t="shared" si="83"/>
        <v>08-2024</v>
      </c>
    </row>
    <row r="395" spans="1:24" x14ac:dyDescent="0.3">
      <c r="A395">
        <v>10159</v>
      </c>
      <c r="B395" s="1">
        <v>45475</v>
      </c>
      <c r="C395" t="s">
        <v>11</v>
      </c>
      <c r="D395" t="s">
        <v>12</v>
      </c>
      <c r="E395" t="s">
        <v>44</v>
      </c>
      <c r="F395" t="s">
        <v>32</v>
      </c>
      <c r="G395" t="s">
        <v>43</v>
      </c>
      <c r="H395" t="s">
        <v>16</v>
      </c>
      <c r="I395">
        <v>146901.98000000001</v>
      </c>
      <c r="J395">
        <v>35015.93</v>
      </c>
      <c r="K395">
        <v>77771.960000000006</v>
      </c>
      <c r="L395" t="str">
        <f t="shared" si="72"/>
        <v>Rahul</v>
      </c>
      <c r="M395" t="str">
        <f t="shared" si="73"/>
        <v>South</v>
      </c>
      <c r="N395" t="str">
        <f t="shared" si="74"/>
        <v>Pune</v>
      </c>
      <c r="O395" t="str">
        <f t="shared" si="75"/>
        <v>Smb</v>
      </c>
      <c r="P395" s="4" t="str">
        <f t="shared" si="76"/>
        <v>direct</v>
      </c>
      <c r="Q395">
        <f t="shared" si="77"/>
        <v>35015.93</v>
      </c>
      <c r="R395" s="6">
        <f t="shared" si="78"/>
        <v>111886.05000000002</v>
      </c>
      <c r="S395">
        <f t="shared" si="79"/>
        <v>0.7616374537633871</v>
      </c>
      <c r="T395">
        <f t="shared" si="80"/>
        <v>1.8888810311582735</v>
      </c>
      <c r="U395">
        <f t="shared" si="81"/>
        <v>69130.02</v>
      </c>
      <c r="V395" t="str">
        <f t="shared" si="82"/>
        <v>Profitable</v>
      </c>
      <c r="W395" t="str" cm="1">
        <f t="array" ref="W395">_xlfn.IFS(S395&lt;0,"Loss", S395&lt;0.15,"Low Margin",S395&lt;0.3,"Medium High", TRUE, "High Margin")</f>
        <v>High Margin</v>
      </c>
      <c r="X395" t="str">
        <f t="shared" si="83"/>
        <v>07-2024</v>
      </c>
    </row>
    <row r="396" spans="1:24" x14ac:dyDescent="0.3">
      <c r="A396">
        <v>10474</v>
      </c>
      <c r="B396" s="1">
        <v>45306</v>
      </c>
      <c r="C396" t="s">
        <v>41</v>
      </c>
      <c r="E396" t="s">
        <v>24</v>
      </c>
      <c r="G396" t="s">
        <v>27</v>
      </c>
      <c r="H396" t="s">
        <v>16</v>
      </c>
      <c r="I396">
        <v>9738.4</v>
      </c>
      <c r="J396">
        <v>60076.62</v>
      </c>
      <c r="K396">
        <v>85352.89</v>
      </c>
      <c r="L396" t="str">
        <f t="shared" si="72"/>
        <v>Neha</v>
      </c>
      <c r="M396" t="str">
        <f t="shared" si="73"/>
        <v>Unknown</v>
      </c>
      <c r="N396" t="str">
        <f t="shared" si="74"/>
        <v>Chennai</v>
      </c>
      <c r="O396" t="str">
        <f t="shared" si="75"/>
        <v>Unknown</v>
      </c>
      <c r="P396" s="4" t="str">
        <f t="shared" si="76"/>
        <v>direct</v>
      </c>
      <c r="Q396">
        <f t="shared" si="77"/>
        <v>60076.62</v>
      </c>
      <c r="R396" s="6">
        <f t="shared" si="78"/>
        <v>-50338.22</v>
      </c>
      <c r="S396">
        <f t="shared" si="79"/>
        <v>-5.1690441961718561</v>
      </c>
      <c r="T396">
        <f t="shared" si="80"/>
        <v>0.11409572657703798</v>
      </c>
      <c r="U396">
        <f t="shared" si="81"/>
        <v>-75614.490000000005</v>
      </c>
      <c r="V396" t="str">
        <f t="shared" si="82"/>
        <v>Unprofitable</v>
      </c>
      <c r="W396" t="str" cm="1">
        <f t="array" ref="W396">_xlfn.IFS(S396&lt;0,"Loss", S396&lt;0.15,"Low Margin",S396&lt;0.3,"Medium High", TRUE, "High Margin")</f>
        <v>Loss</v>
      </c>
      <c r="X396" t="str">
        <f t="shared" si="83"/>
        <v>01-2024</v>
      </c>
    </row>
    <row r="397" spans="1:24" x14ac:dyDescent="0.3">
      <c r="A397">
        <v>10379</v>
      </c>
      <c r="B397" s="1">
        <v>45448</v>
      </c>
      <c r="C397" t="s">
        <v>11</v>
      </c>
      <c r="D397" t="s">
        <v>37</v>
      </c>
      <c r="E397" t="s">
        <v>26</v>
      </c>
      <c r="F397" t="s">
        <v>32</v>
      </c>
      <c r="G397" t="s">
        <v>42</v>
      </c>
      <c r="I397">
        <v>121175.17</v>
      </c>
      <c r="K397">
        <v>128751.55</v>
      </c>
      <c r="L397" t="str">
        <f t="shared" si="72"/>
        <v>Rahul</v>
      </c>
      <c r="M397" t="str">
        <f t="shared" si="73"/>
        <v>North</v>
      </c>
      <c r="N397" t="str">
        <f t="shared" si="74"/>
        <v>Mumbai</v>
      </c>
      <c r="O397" t="str">
        <f t="shared" si="75"/>
        <v>Smb</v>
      </c>
      <c r="P397" s="4" t="str">
        <f t="shared" si="76"/>
        <v>Unknown</v>
      </c>
      <c r="Q397">
        <f t="shared" si="77"/>
        <v>0</v>
      </c>
      <c r="R397" s="6">
        <f t="shared" si="78"/>
        <v>121175.17</v>
      </c>
      <c r="S397">
        <f t="shared" si="79"/>
        <v>1</v>
      </c>
      <c r="T397">
        <f t="shared" si="80"/>
        <v>0.94115503852186633</v>
      </c>
      <c r="U397">
        <f t="shared" si="81"/>
        <v>-7576.3800000000047</v>
      </c>
      <c r="V397" t="str">
        <f t="shared" si="82"/>
        <v>Profitable</v>
      </c>
      <c r="W397" t="str" cm="1">
        <f t="array" ref="W397">_xlfn.IFS(S397&lt;0,"Loss", S397&lt;0.15,"Low Margin",S397&lt;0.3,"Medium High", TRUE, "High Margin")</f>
        <v>High Margin</v>
      </c>
      <c r="X397" t="str">
        <f t="shared" si="83"/>
        <v>06-2024</v>
      </c>
    </row>
    <row r="398" spans="1:24" x14ac:dyDescent="0.3">
      <c r="A398">
        <v>10544</v>
      </c>
      <c r="B398" s="1">
        <v>45427</v>
      </c>
      <c r="C398" t="s">
        <v>45</v>
      </c>
      <c r="D398" t="s">
        <v>17</v>
      </c>
      <c r="G398" t="s">
        <v>40</v>
      </c>
      <c r="H398" t="s">
        <v>16</v>
      </c>
      <c r="I398">
        <v>125752</v>
      </c>
      <c r="J398">
        <v>56771.33</v>
      </c>
      <c r="K398">
        <v>29068.87</v>
      </c>
      <c r="L398" t="str">
        <f t="shared" si="72"/>
        <v>Rahul</v>
      </c>
      <c r="M398" t="str">
        <f t="shared" si="73"/>
        <v>West</v>
      </c>
      <c r="N398" t="str">
        <f t="shared" si="74"/>
        <v>Unknown</v>
      </c>
      <c r="O398" t="str">
        <f t="shared" si="75"/>
        <v>Unknown</v>
      </c>
      <c r="P398" s="4" t="str">
        <f t="shared" si="76"/>
        <v>direct</v>
      </c>
      <c r="Q398">
        <f t="shared" si="77"/>
        <v>56771.33</v>
      </c>
      <c r="R398" s="6">
        <f t="shared" si="78"/>
        <v>68980.67</v>
      </c>
      <c r="S398">
        <f t="shared" si="79"/>
        <v>0.54854531140657803</v>
      </c>
      <c r="T398">
        <f t="shared" si="80"/>
        <v>4.3260023523446218</v>
      </c>
      <c r="U398">
        <f t="shared" si="81"/>
        <v>96683.13</v>
      </c>
      <c r="V398" t="str">
        <f t="shared" si="82"/>
        <v>Profitable</v>
      </c>
      <c r="W398" t="str" cm="1">
        <f t="array" ref="W398">_xlfn.IFS(S398&lt;0,"Loss", S398&lt;0.15,"Low Margin",S398&lt;0.3,"Medium High", TRUE, "High Margin")</f>
        <v>High Margin</v>
      </c>
      <c r="X398" t="str">
        <f t="shared" si="83"/>
        <v>05-2024</v>
      </c>
    </row>
    <row r="399" spans="1:24" x14ac:dyDescent="0.3">
      <c r="A399">
        <v>10426</v>
      </c>
      <c r="B399" s="1">
        <v>45552</v>
      </c>
      <c r="C399" t="s">
        <v>29</v>
      </c>
      <c r="D399" t="s">
        <v>34</v>
      </c>
      <c r="E399" t="s">
        <v>26</v>
      </c>
      <c r="F399" t="s">
        <v>19</v>
      </c>
      <c r="G399" t="s">
        <v>15</v>
      </c>
      <c r="H399" t="s">
        <v>28</v>
      </c>
      <c r="I399">
        <v>130436.14</v>
      </c>
      <c r="J399">
        <v>38856.230000000003</v>
      </c>
      <c r="K399">
        <v>25547.63</v>
      </c>
      <c r="L399" t="str">
        <f t="shared" si="72"/>
        <v>Sneha</v>
      </c>
      <c r="M399" t="str">
        <f t="shared" si="73"/>
        <v>East</v>
      </c>
      <c r="N399" t="str">
        <f t="shared" si="74"/>
        <v>Mumbai</v>
      </c>
      <c r="O399" t="str">
        <f t="shared" si="75"/>
        <v>Startup</v>
      </c>
      <c r="P399" s="4" t="str">
        <f t="shared" si="76"/>
        <v>Direct</v>
      </c>
      <c r="Q399">
        <f t="shared" si="77"/>
        <v>38856.230000000003</v>
      </c>
      <c r="R399" s="6">
        <f t="shared" si="78"/>
        <v>91579.91</v>
      </c>
      <c r="S399">
        <f t="shared" si="79"/>
        <v>0.70210533675712883</v>
      </c>
      <c r="T399">
        <f t="shared" si="80"/>
        <v>5.1056062734586334</v>
      </c>
      <c r="U399">
        <f t="shared" si="81"/>
        <v>104888.51</v>
      </c>
      <c r="V399" t="str">
        <f t="shared" si="82"/>
        <v>Profitable</v>
      </c>
      <c r="W399" t="str" cm="1">
        <f t="array" ref="W399">_xlfn.IFS(S399&lt;0,"Loss", S399&lt;0.15,"Low Margin",S399&lt;0.3,"Medium High", TRUE, "High Margin")</f>
        <v>High Margin</v>
      </c>
      <c r="X399" t="str">
        <f t="shared" si="83"/>
        <v>09-2024</v>
      </c>
    </row>
    <row r="400" spans="1:24" x14ac:dyDescent="0.3">
      <c r="A400">
        <v>10267</v>
      </c>
      <c r="B400" s="1">
        <v>45448</v>
      </c>
      <c r="C400" t="s">
        <v>45</v>
      </c>
      <c r="D400" t="s">
        <v>37</v>
      </c>
      <c r="E400" t="s">
        <v>18</v>
      </c>
      <c r="F400" t="s">
        <v>32</v>
      </c>
      <c r="G400" t="s">
        <v>15</v>
      </c>
      <c r="H400" t="s">
        <v>16</v>
      </c>
      <c r="I400">
        <v>54468.24</v>
      </c>
      <c r="K400">
        <v>82705.69</v>
      </c>
      <c r="L400" t="str">
        <f t="shared" si="72"/>
        <v>Rahul</v>
      </c>
      <c r="M400" t="str">
        <f t="shared" si="73"/>
        <v>North</v>
      </c>
      <c r="N400" t="str">
        <f t="shared" si="74"/>
        <v>Bengaluru</v>
      </c>
      <c r="O400" t="str">
        <f t="shared" si="75"/>
        <v>Smb</v>
      </c>
      <c r="P400" s="4" t="str">
        <f t="shared" si="76"/>
        <v>direct</v>
      </c>
      <c r="Q400">
        <f t="shared" si="77"/>
        <v>0</v>
      </c>
      <c r="R400" s="6">
        <f t="shared" si="78"/>
        <v>54468.24</v>
      </c>
      <c r="S400">
        <f t="shared" si="79"/>
        <v>1</v>
      </c>
      <c r="T400">
        <f t="shared" si="80"/>
        <v>0.65857911348058396</v>
      </c>
      <c r="U400">
        <f t="shared" si="81"/>
        <v>-28237.450000000004</v>
      </c>
      <c r="V400" t="str">
        <f t="shared" si="82"/>
        <v>Profitable</v>
      </c>
      <c r="W400" t="str" cm="1">
        <f t="array" ref="W400">_xlfn.IFS(S400&lt;0,"Loss", S400&lt;0.15,"Low Margin",S400&lt;0.3,"Medium High", TRUE, "High Margin")</f>
        <v>High Margin</v>
      </c>
      <c r="X400" t="str">
        <f t="shared" si="83"/>
        <v>06-2024</v>
      </c>
    </row>
    <row r="401" spans="1:24" x14ac:dyDescent="0.3">
      <c r="A401">
        <v>10576</v>
      </c>
      <c r="B401" s="1">
        <v>45338</v>
      </c>
      <c r="C401" t="s">
        <v>22</v>
      </c>
      <c r="D401" t="s">
        <v>23</v>
      </c>
      <c r="E401" t="s">
        <v>26</v>
      </c>
      <c r="G401" t="s">
        <v>27</v>
      </c>
      <c r="I401">
        <v>145098.12</v>
      </c>
      <c r="J401">
        <v>9666.51</v>
      </c>
      <c r="K401">
        <v>131546.19</v>
      </c>
      <c r="L401" t="str">
        <f t="shared" si="72"/>
        <v>Amit</v>
      </c>
      <c r="M401" t="str">
        <f t="shared" si="73"/>
        <v>West</v>
      </c>
      <c r="N401" t="str">
        <f t="shared" si="74"/>
        <v>Mumbai</v>
      </c>
      <c r="O401" t="str">
        <f t="shared" si="75"/>
        <v>Unknown</v>
      </c>
      <c r="P401" s="4" t="str">
        <f t="shared" si="76"/>
        <v>Unknown</v>
      </c>
      <c r="Q401">
        <f t="shared" si="77"/>
        <v>9666.51</v>
      </c>
      <c r="R401" s="6">
        <f t="shared" si="78"/>
        <v>135431.60999999999</v>
      </c>
      <c r="S401">
        <f t="shared" si="79"/>
        <v>0.93337949519952423</v>
      </c>
      <c r="T401">
        <f t="shared" si="80"/>
        <v>1.1030203155256719</v>
      </c>
      <c r="U401">
        <f t="shared" si="81"/>
        <v>13551.929999999993</v>
      </c>
      <c r="V401" t="str">
        <f t="shared" si="82"/>
        <v>Profitable</v>
      </c>
      <c r="W401" t="str" cm="1">
        <f t="array" ref="W401">_xlfn.IFS(S401&lt;0,"Loss", S401&lt;0.15,"Low Margin",S401&lt;0.3,"Medium High", TRUE, "High Margin")</f>
        <v>High Margin</v>
      </c>
      <c r="X401" t="str">
        <f t="shared" si="83"/>
        <v>02-2024</v>
      </c>
    </row>
    <row r="402" spans="1:24" x14ac:dyDescent="0.3">
      <c r="A402">
        <v>10416</v>
      </c>
      <c r="B402" s="1">
        <v>45464</v>
      </c>
      <c r="D402" t="s">
        <v>17</v>
      </c>
      <c r="E402" t="s">
        <v>18</v>
      </c>
      <c r="F402" t="s">
        <v>39</v>
      </c>
      <c r="G402" t="s">
        <v>42</v>
      </c>
      <c r="H402" t="s">
        <v>16</v>
      </c>
      <c r="I402">
        <v>25547.17</v>
      </c>
      <c r="J402">
        <v>51977.05</v>
      </c>
      <c r="K402">
        <v>50949.65</v>
      </c>
      <c r="L402" t="str">
        <f t="shared" si="72"/>
        <v>Unassigned</v>
      </c>
      <c r="M402" t="str">
        <f t="shared" si="73"/>
        <v>West</v>
      </c>
      <c r="N402" t="str">
        <f t="shared" si="74"/>
        <v>Bengaluru</v>
      </c>
      <c r="O402" t="str">
        <f t="shared" si="75"/>
        <v>Enterprise</v>
      </c>
      <c r="P402" s="4" t="str">
        <f t="shared" si="76"/>
        <v>direct</v>
      </c>
      <c r="Q402">
        <f t="shared" si="77"/>
        <v>51977.05</v>
      </c>
      <c r="R402" s="6">
        <f t="shared" si="78"/>
        <v>-26429.880000000005</v>
      </c>
      <c r="S402">
        <f t="shared" si="79"/>
        <v>-1.0345521637034554</v>
      </c>
      <c r="T402">
        <f t="shared" si="80"/>
        <v>0.50141993124584761</v>
      </c>
      <c r="U402">
        <f t="shared" si="81"/>
        <v>-25402.480000000003</v>
      </c>
      <c r="V402" t="str">
        <f t="shared" si="82"/>
        <v>Unprofitable</v>
      </c>
      <c r="W402" t="str" cm="1">
        <f t="array" ref="W402">_xlfn.IFS(S402&lt;0,"Loss", S402&lt;0.15,"Low Margin",S402&lt;0.3,"Medium High", TRUE, "High Margin")</f>
        <v>Loss</v>
      </c>
      <c r="X402" t="str">
        <f t="shared" si="83"/>
        <v>06-2024</v>
      </c>
    </row>
    <row r="403" spans="1:24" x14ac:dyDescent="0.3">
      <c r="A403">
        <v>10167</v>
      </c>
      <c r="B403" s="1">
        <v>45421</v>
      </c>
      <c r="C403" t="s">
        <v>41</v>
      </c>
      <c r="D403" t="s">
        <v>37</v>
      </c>
      <c r="E403" t="s">
        <v>35</v>
      </c>
      <c r="F403" t="s">
        <v>19</v>
      </c>
      <c r="G403" t="s">
        <v>20</v>
      </c>
      <c r="H403" t="s">
        <v>21</v>
      </c>
      <c r="I403">
        <v>46259.9</v>
      </c>
      <c r="J403">
        <v>56636.480000000003</v>
      </c>
      <c r="K403">
        <v>122640.72</v>
      </c>
      <c r="L403" t="str">
        <f t="shared" si="72"/>
        <v>Neha</v>
      </c>
      <c r="M403" t="str">
        <f t="shared" si="73"/>
        <v>North</v>
      </c>
      <c r="N403" t="str">
        <f t="shared" si="74"/>
        <v>Hyderabad</v>
      </c>
      <c r="O403" t="str">
        <f t="shared" si="75"/>
        <v>Startup</v>
      </c>
      <c r="P403" s="4" t="str">
        <f t="shared" si="76"/>
        <v>Online</v>
      </c>
      <c r="Q403">
        <f t="shared" si="77"/>
        <v>56636.480000000003</v>
      </c>
      <c r="R403" s="6">
        <f t="shared" si="78"/>
        <v>-10376.580000000002</v>
      </c>
      <c r="S403">
        <f t="shared" si="79"/>
        <v>-0.22431047192060513</v>
      </c>
      <c r="T403">
        <f t="shared" si="80"/>
        <v>0.37719853569026668</v>
      </c>
      <c r="U403">
        <f t="shared" si="81"/>
        <v>-76380.820000000007</v>
      </c>
      <c r="V403" t="str">
        <f t="shared" si="82"/>
        <v>Unprofitable</v>
      </c>
      <c r="W403" t="str" cm="1">
        <f t="array" ref="W403">_xlfn.IFS(S403&lt;0,"Loss", S403&lt;0.15,"Low Margin",S403&lt;0.3,"Medium High", TRUE, "High Margin")</f>
        <v>Loss</v>
      </c>
      <c r="X403" t="str">
        <f t="shared" si="83"/>
        <v>05-2024</v>
      </c>
    </row>
    <row r="404" spans="1:24" x14ac:dyDescent="0.3">
      <c r="A404">
        <v>10042</v>
      </c>
      <c r="B404" s="1">
        <v>45386</v>
      </c>
      <c r="C404" t="s">
        <v>30</v>
      </c>
      <c r="D404" t="s">
        <v>37</v>
      </c>
      <c r="E404" t="s">
        <v>44</v>
      </c>
      <c r="F404" t="s">
        <v>19</v>
      </c>
      <c r="G404" t="s">
        <v>43</v>
      </c>
      <c r="H404" t="s">
        <v>21</v>
      </c>
      <c r="I404">
        <v>176474.25</v>
      </c>
      <c r="J404">
        <v>87825.71</v>
      </c>
      <c r="K404">
        <v>61572.5</v>
      </c>
      <c r="L404" t="str">
        <f t="shared" si="72"/>
        <v>Ankit</v>
      </c>
      <c r="M404" t="str">
        <f t="shared" si="73"/>
        <v>North</v>
      </c>
      <c r="N404" t="str">
        <f t="shared" si="74"/>
        <v>Pune</v>
      </c>
      <c r="O404" t="str">
        <f t="shared" si="75"/>
        <v>Startup</v>
      </c>
      <c r="P404" s="4" t="str">
        <f t="shared" si="76"/>
        <v>Online</v>
      </c>
      <c r="Q404">
        <f t="shared" si="77"/>
        <v>87825.71</v>
      </c>
      <c r="R404" s="6">
        <f t="shared" si="78"/>
        <v>88648.54</v>
      </c>
      <c r="S404">
        <f t="shared" si="79"/>
        <v>0.50233130329212328</v>
      </c>
      <c r="T404">
        <f t="shared" si="80"/>
        <v>2.8661212391895732</v>
      </c>
      <c r="U404">
        <f t="shared" si="81"/>
        <v>114901.75</v>
      </c>
      <c r="V404" t="str">
        <f t="shared" si="82"/>
        <v>Profitable</v>
      </c>
      <c r="W404" t="str" cm="1">
        <f t="array" ref="W404">_xlfn.IFS(S404&lt;0,"Loss", S404&lt;0.15,"Low Margin",S404&lt;0.3,"Medium High", TRUE, "High Margin")</f>
        <v>High Margin</v>
      </c>
      <c r="X404" t="str">
        <f t="shared" si="83"/>
        <v>04-2024</v>
      </c>
    </row>
    <row r="405" spans="1:24" x14ac:dyDescent="0.3">
      <c r="A405">
        <v>10555</v>
      </c>
      <c r="B405" s="1">
        <v>45406</v>
      </c>
      <c r="C405" t="s">
        <v>29</v>
      </c>
      <c r="D405" t="s">
        <v>34</v>
      </c>
      <c r="E405" t="s">
        <v>18</v>
      </c>
      <c r="F405" t="s">
        <v>39</v>
      </c>
      <c r="G405" t="s">
        <v>43</v>
      </c>
      <c r="I405">
        <v>149834.84</v>
      </c>
      <c r="K405">
        <v>161773.78</v>
      </c>
      <c r="L405" t="str">
        <f t="shared" si="72"/>
        <v>Sneha</v>
      </c>
      <c r="M405" t="str">
        <f t="shared" si="73"/>
        <v>East</v>
      </c>
      <c r="N405" t="str">
        <f t="shared" si="74"/>
        <v>Bengaluru</v>
      </c>
      <c r="O405" t="str">
        <f t="shared" si="75"/>
        <v>Enterprise</v>
      </c>
      <c r="P405" s="4" t="str">
        <f t="shared" si="76"/>
        <v>Unknown</v>
      </c>
      <c r="Q405">
        <f t="shared" si="77"/>
        <v>0</v>
      </c>
      <c r="R405" s="6">
        <f t="shared" si="78"/>
        <v>149834.84</v>
      </c>
      <c r="S405">
        <f t="shared" si="79"/>
        <v>1</v>
      </c>
      <c r="T405">
        <f t="shared" si="80"/>
        <v>0.92619978342596676</v>
      </c>
      <c r="U405">
        <f t="shared" si="81"/>
        <v>-11938.940000000002</v>
      </c>
      <c r="V405" t="str">
        <f t="shared" si="82"/>
        <v>Profitable</v>
      </c>
      <c r="W405" t="str" cm="1">
        <f t="array" ref="W405">_xlfn.IFS(S405&lt;0,"Loss", S405&lt;0.15,"Low Margin",S405&lt;0.3,"Medium High", TRUE, "High Margin")</f>
        <v>High Margin</v>
      </c>
      <c r="X405" t="str">
        <f t="shared" si="83"/>
        <v>04-2024</v>
      </c>
    </row>
    <row r="406" spans="1:24" x14ac:dyDescent="0.3">
      <c r="A406">
        <v>10284</v>
      </c>
      <c r="B406" s="1">
        <v>45534</v>
      </c>
      <c r="C406" t="s">
        <v>25</v>
      </c>
      <c r="E406" t="s">
        <v>24</v>
      </c>
      <c r="G406" t="s">
        <v>43</v>
      </c>
      <c r="H406" t="s">
        <v>28</v>
      </c>
      <c r="I406">
        <v>10639.15</v>
      </c>
      <c r="J406">
        <v>81063.839999999997</v>
      </c>
      <c r="K406">
        <v>163310.39000000001</v>
      </c>
      <c r="L406" t="str">
        <f t="shared" si="72"/>
        <v>Priya</v>
      </c>
      <c r="M406" t="str">
        <f t="shared" si="73"/>
        <v>Unknown</v>
      </c>
      <c r="N406" t="str">
        <f t="shared" si="74"/>
        <v>Chennai</v>
      </c>
      <c r="O406" t="str">
        <f t="shared" si="75"/>
        <v>Unknown</v>
      </c>
      <c r="P406" s="4" t="str">
        <f t="shared" si="76"/>
        <v>Direct</v>
      </c>
      <c r="Q406">
        <f t="shared" si="77"/>
        <v>81063.839999999997</v>
      </c>
      <c r="R406" s="6">
        <f t="shared" si="78"/>
        <v>-70424.69</v>
      </c>
      <c r="S406">
        <f t="shared" si="79"/>
        <v>-6.6193906468091912</v>
      </c>
      <c r="T406">
        <f t="shared" si="80"/>
        <v>6.5146804192923666E-2</v>
      </c>
      <c r="U406">
        <f t="shared" si="81"/>
        <v>-152671.24000000002</v>
      </c>
      <c r="V406" t="str">
        <f t="shared" si="82"/>
        <v>Unprofitable</v>
      </c>
      <c r="W406" t="str" cm="1">
        <f t="array" ref="W406">_xlfn.IFS(S406&lt;0,"Loss", S406&lt;0.15,"Low Margin",S406&lt;0.3,"Medium High", TRUE, "High Margin")</f>
        <v>Loss</v>
      </c>
      <c r="X406" t="str">
        <f t="shared" si="83"/>
        <v>08-2024</v>
      </c>
    </row>
    <row r="407" spans="1:24" x14ac:dyDescent="0.3">
      <c r="A407">
        <v>10396</v>
      </c>
      <c r="B407" s="1">
        <v>45360</v>
      </c>
      <c r="C407" t="s">
        <v>25</v>
      </c>
      <c r="D407" t="s">
        <v>23</v>
      </c>
      <c r="E407" t="s">
        <v>13</v>
      </c>
      <c r="F407" t="s">
        <v>14</v>
      </c>
      <c r="G407" t="s">
        <v>20</v>
      </c>
      <c r="H407" t="s">
        <v>28</v>
      </c>
      <c r="I407">
        <v>55688.24</v>
      </c>
      <c r="K407">
        <v>67565.95</v>
      </c>
      <c r="L407" t="str">
        <f t="shared" si="72"/>
        <v>Priya</v>
      </c>
      <c r="M407" t="str">
        <f t="shared" si="73"/>
        <v>West</v>
      </c>
      <c r="N407" t="str">
        <f t="shared" si="74"/>
        <v>Bengaluru</v>
      </c>
      <c r="O407" t="str">
        <f t="shared" si="75"/>
        <v>Enterprise</v>
      </c>
      <c r="P407" s="4" t="str">
        <f t="shared" si="76"/>
        <v>Direct</v>
      </c>
      <c r="Q407">
        <f t="shared" si="77"/>
        <v>0</v>
      </c>
      <c r="R407" s="6">
        <f t="shared" si="78"/>
        <v>55688.24</v>
      </c>
      <c r="S407">
        <f t="shared" si="79"/>
        <v>1</v>
      </c>
      <c r="T407">
        <f t="shared" si="80"/>
        <v>0.82420568348406265</v>
      </c>
      <c r="U407">
        <f t="shared" si="81"/>
        <v>-11877.71</v>
      </c>
      <c r="V407" t="str">
        <f t="shared" si="82"/>
        <v>Profitable</v>
      </c>
      <c r="W407" t="str" cm="1">
        <f t="array" ref="W407">_xlfn.IFS(S407&lt;0,"Loss", S407&lt;0.15,"Low Margin",S407&lt;0.3,"Medium High", TRUE, "High Margin")</f>
        <v>High Margin</v>
      </c>
      <c r="X407" t="str">
        <f t="shared" si="83"/>
        <v>03-2024</v>
      </c>
    </row>
    <row r="408" spans="1:24" x14ac:dyDescent="0.3">
      <c r="A408">
        <v>10011</v>
      </c>
      <c r="B408" s="1">
        <v>45439</v>
      </c>
      <c r="C408" t="s">
        <v>25</v>
      </c>
      <c r="D408" t="s">
        <v>31</v>
      </c>
      <c r="E408" t="s">
        <v>44</v>
      </c>
      <c r="F408" t="s">
        <v>39</v>
      </c>
      <c r="G408" t="s">
        <v>15</v>
      </c>
      <c r="H408" t="s">
        <v>33</v>
      </c>
      <c r="I408">
        <v>49166.04</v>
      </c>
      <c r="J408">
        <v>103877.75</v>
      </c>
      <c r="K408">
        <v>56799</v>
      </c>
      <c r="L408" t="str">
        <f t="shared" si="72"/>
        <v>Priya</v>
      </c>
      <c r="M408" t="str">
        <f t="shared" si="73"/>
        <v>South</v>
      </c>
      <c r="N408" t="str">
        <f t="shared" si="74"/>
        <v>Pune</v>
      </c>
      <c r="O408" t="str">
        <f t="shared" si="75"/>
        <v>Enterprise</v>
      </c>
      <c r="P408" s="4" t="str">
        <f t="shared" si="76"/>
        <v>Partner</v>
      </c>
      <c r="Q408">
        <f t="shared" si="77"/>
        <v>103877.75</v>
      </c>
      <c r="R408" s="6">
        <f t="shared" si="78"/>
        <v>-54711.71</v>
      </c>
      <c r="S408">
        <f t="shared" si="79"/>
        <v>-1.1127947257904032</v>
      </c>
      <c r="T408">
        <f t="shared" si="80"/>
        <v>0.86561453546717371</v>
      </c>
      <c r="U408">
        <f t="shared" si="81"/>
        <v>-7632.9599999999991</v>
      </c>
      <c r="V408" t="str">
        <f t="shared" si="82"/>
        <v>Unprofitable</v>
      </c>
      <c r="W408" t="str" cm="1">
        <f t="array" ref="W408">_xlfn.IFS(S408&lt;0,"Loss", S408&lt;0.15,"Low Margin",S408&lt;0.3,"Medium High", TRUE, "High Margin")</f>
        <v>Loss</v>
      </c>
      <c r="X408" t="str">
        <f t="shared" si="83"/>
        <v>05-2024</v>
      </c>
    </row>
    <row r="409" spans="1:24" x14ac:dyDescent="0.3">
      <c r="A409">
        <v>10301</v>
      </c>
      <c r="B409" s="1">
        <v>45302</v>
      </c>
      <c r="C409" t="s">
        <v>41</v>
      </c>
      <c r="D409" t="s">
        <v>31</v>
      </c>
      <c r="E409" t="s">
        <v>18</v>
      </c>
      <c r="G409" t="s">
        <v>42</v>
      </c>
      <c r="I409">
        <v>59994.81</v>
      </c>
      <c r="J409">
        <v>39723.43</v>
      </c>
      <c r="K409">
        <v>85808.639999999999</v>
      </c>
      <c r="L409" t="str">
        <f t="shared" si="72"/>
        <v>Neha</v>
      </c>
      <c r="M409" t="str">
        <f t="shared" si="73"/>
        <v>South</v>
      </c>
      <c r="N409" t="str">
        <f t="shared" si="74"/>
        <v>Bengaluru</v>
      </c>
      <c r="O409" t="str">
        <f t="shared" si="75"/>
        <v>Unknown</v>
      </c>
      <c r="P409" s="4" t="str">
        <f t="shared" si="76"/>
        <v>Unknown</v>
      </c>
      <c r="Q409">
        <f t="shared" si="77"/>
        <v>39723.43</v>
      </c>
      <c r="R409" s="6">
        <f t="shared" si="78"/>
        <v>20271.379999999997</v>
      </c>
      <c r="S409">
        <f t="shared" si="79"/>
        <v>0.33788556043431089</v>
      </c>
      <c r="T409">
        <f t="shared" si="80"/>
        <v>0.69916980387988903</v>
      </c>
      <c r="U409">
        <f t="shared" si="81"/>
        <v>-25813.83</v>
      </c>
      <c r="V409" t="str">
        <f t="shared" si="82"/>
        <v>Profitable</v>
      </c>
      <c r="W409" t="str" cm="1">
        <f t="array" ref="W409">_xlfn.IFS(S409&lt;0,"Loss", S409&lt;0.15,"Low Margin",S409&lt;0.3,"Medium High", TRUE, "High Margin")</f>
        <v>High Margin</v>
      </c>
      <c r="X409" t="str">
        <f t="shared" si="83"/>
        <v>01-2024</v>
      </c>
    </row>
    <row r="410" spans="1:24" x14ac:dyDescent="0.3">
      <c r="A410">
        <v>10252</v>
      </c>
      <c r="B410" s="1">
        <v>45545</v>
      </c>
      <c r="C410" t="s">
        <v>25</v>
      </c>
      <c r="D410" t="s">
        <v>37</v>
      </c>
      <c r="E410" t="s">
        <v>44</v>
      </c>
      <c r="F410" t="s">
        <v>39</v>
      </c>
      <c r="G410" t="s">
        <v>20</v>
      </c>
      <c r="H410" t="s">
        <v>16</v>
      </c>
      <c r="I410">
        <v>55531.48</v>
      </c>
      <c r="J410">
        <v>65948.66</v>
      </c>
      <c r="L410" t="str">
        <f t="shared" si="72"/>
        <v>Priya</v>
      </c>
      <c r="M410" t="str">
        <f t="shared" si="73"/>
        <v>North</v>
      </c>
      <c r="N410" t="str">
        <f t="shared" si="74"/>
        <v>Pune</v>
      </c>
      <c r="O410" t="str">
        <f t="shared" si="75"/>
        <v>Enterprise</v>
      </c>
      <c r="P410" s="4" t="str">
        <f t="shared" si="76"/>
        <v>direct</v>
      </c>
      <c r="Q410">
        <f t="shared" si="77"/>
        <v>65948.66</v>
      </c>
      <c r="R410" s="6">
        <f t="shared" si="78"/>
        <v>-10417.18</v>
      </c>
      <c r="S410">
        <f t="shared" si="79"/>
        <v>-0.18759053423391561</v>
      </c>
      <c r="T410">
        <f t="shared" si="80"/>
        <v>0</v>
      </c>
      <c r="U410">
        <f t="shared" si="81"/>
        <v>55531.48</v>
      </c>
      <c r="V410" t="str">
        <f t="shared" si="82"/>
        <v>Unprofitable</v>
      </c>
      <c r="W410" t="str" cm="1">
        <f t="array" ref="W410">_xlfn.IFS(S410&lt;0,"Loss", S410&lt;0.15,"Low Margin",S410&lt;0.3,"Medium High", TRUE, "High Margin")</f>
        <v>Loss</v>
      </c>
      <c r="X410" t="str">
        <f t="shared" si="83"/>
        <v>09-2024</v>
      </c>
    </row>
    <row r="411" spans="1:24" x14ac:dyDescent="0.3">
      <c r="A411">
        <v>10498</v>
      </c>
      <c r="B411" s="1">
        <v>45329</v>
      </c>
      <c r="C411" t="s">
        <v>36</v>
      </c>
      <c r="D411" t="s">
        <v>12</v>
      </c>
      <c r="F411" t="s">
        <v>39</v>
      </c>
      <c r="G411" t="s">
        <v>43</v>
      </c>
      <c r="I411">
        <v>20005.05</v>
      </c>
      <c r="J411">
        <v>101292.65</v>
      </c>
      <c r="K411">
        <v>127581.41</v>
      </c>
      <c r="L411" t="str">
        <f t="shared" si="72"/>
        <v>Amit</v>
      </c>
      <c r="M411" t="str">
        <f t="shared" si="73"/>
        <v>South</v>
      </c>
      <c r="N411" t="str">
        <f t="shared" si="74"/>
        <v>Unknown</v>
      </c>
      <c r="O411" t="str">
        <f t="shared" si="75"/>
        <v>Enterprise</v>
      </c>
      <c r="P411" s="4" t="str">
        <f t="shared" si="76"/>
        <v>Unknown</v>
      </c>
      <c r="Q411">
        <f t="shared" si="77"/>
        <v>101292.65</v>
      </c>
      <c r="R411" s="6">
        <f t="shared" si="78"/>
        <v>-81287.599999999991</v>
      </c>
      <c r="S411">
        <f t="shared" si="79"/>
        <v>-4.0633540031142132</v>
      </c>
      <c r="T411">
        <f t="shared" si="80"/>
        <v>0.1568022331780155</v>
      </c>
      <c r="U411">
        <f t="shared" si="81"/>
        <v>-107576.36</v>
      </c>
      <c r="V411" t="str">
        <f t="shared" si="82"/>
        <v>Unprofitable</v>
      </c>
      <c r="W411" t="str" cm="1">
        <f t="array" ref="W411">_xlfn.IFS(S411&lt;0,"Loss", S411&lt;0.15,"Low Margin",S411&lt;0.3,"Medium High", TRUE, "High Margin")</f>
        <v>Loss</v>
      </c>
      <c r="X411" t="str">
        <f t="shared" si="83"/>
        <v>02-2024</v>
      </c>
    </row>
    <row r="412" spans="1:24" x14ac:dyDescent="0.3">
      <c r="A412">
        <v>10034</v>
      </c>
      <c r="B412" s="1">
        <v>45425</v>
      </c>
      <c r="C412" t="s">
        <v>29</v>
      </c>
      <c r="D412" t="s">
        <v>23</v>
      </c>
      <c r="E412" t="s">
        <v>44</v>
      </c>
      <c r="F412" t="s">
        <v>32</v>
      </c>
      <c r="G412" t="s">
        <v>27</v>
      </c>
      <c r="H412" t="s">
        <v>33</v>
      </c>
      <c r="I412">
        <v>96116.58</v>
      </c>
      <c r="J412">
        <v>118765.78</v>
      </c>
      <c r="K412">
        <v>152170.35</v>
      </c>
      <c r="L412" t="str">
        <f t="shared" si="72"/>
        <v>Sneha</v>
      </c>
      <c r="M412" t="str">
        <f t="shared" si="73"/>
        <v>West</v>
      </c>
      <c r="N412" t="str">
        <f t="shared" si="74"/>
        <v>Pune</v>
      </c>
      <c r="O412" t="str">
        <f t="shared" si="75"/>
        <v>Smb</v>
      </c>
      <c r="P412" s="4" t="str">
        <f t="shared" si="76"/>
        <v>Partner</v>
      </c>
      <c r="Q412">
        <f t="shared" si="77"/>
        <v>118765.78</v>
      </c>
      <c r="R412" s="6">
        <f t="shared" si="78"/>
        <v>-22649.199999999997</v>
      </c>
      <c r="S412">
        <f t="shared" si="79"/>
        <v>-0.23564300768920404</v>
      </c>
      <c r="T412">
        <f t="shared" si="80"/>
        <v>0.63163802935328728</v>
      </c>
      <c r="U412">
        <f t="shared" si="81"/>
        <v>-56053.770000000004</v>
      </c>
      <c r="V412" t="str">
        <f t="shared" si="82"/>
        <v>Unprofitable</v>
      </c>
      <c r="W412" t="str" cm="1">
        <f t="array" ref="W412">_xlfn.IFS(S412&lt;0,"Loss", S412&lt;0.15,"Low Margin",S412&lt;0.3,"Medium High", TRUE, "High Margin")</f>
        <v>Loss</v>
      </c>
      <c r="X412" t="str">
        <f t="shared" si="83"/>
        <v>05-2024</v>
      </c>
    </row>
    <row r="413" spans="1:24" x14ac:dyDescent="0.3">
      <c r="A413">
        <v>10089</v>
      </c>
      <c r="B413" s="1">
        <v>45491</v>
      </c>
      <c r="C413" t="s">
        <v>36</v>
      </c>
      <c r="D413" t="s">
        <v>17</v>
      </c>
      <c r="E413" t="s">
        <v>44</v>
      </c>
      <c r="G413" t="s">
        <v>40</v>
      </c>
      <c r="I413">
        <v>148684.82999999999</v>
      </c>
      <c r="K413">
        <v>127694.74</v>
      </c>
      <c r="L413" t="str">
        <f t="shared" si="72"/>
        <v>Amit</v>
      </c>
      <c r="M413" t="str">
        <f t="shared" si="73"/>
        <v>West</v>
      </c>
      <c r="N413" t="str">
        <f t="shared" si="74"/>
        <v>Pune</v>
      </c>
      <c r="O413" t="str">
        <f t="shared" si="75"/>
        <v>Unknown</v>
      </c>
      <c r="P413" s="4" t="str">
        <f t="shared" si="76"/>
        <v>Unknown</v>
      </c>
      <c r="Q413">
        <f t="shared" si="77"/>
        <v>0</v>
      </c>
      <c r="R413" s="6">
        <f t="shared" si="78"/>
        <v>148684.82999999999</v>
      </c>
      <c r="S413">
        <f t="shared" si="79"/>
        <v>1</v>
      </c>
      <c r="T413">
        <f t="shared" si="80"/>
        <v>1.1643770918050342</v>
      </c>
      <c r="U413">
        <f t="shared" si="81"/>
        <v>20990.089999999982</v>
      </c>
      <c r="V413" t="str">
        <f t="shared" si="82"/>
        <v>Profitable</v>
      </c>
      <c r="W413" t="str" cm="1">
        <f t="array" ref="W413">_xlfn.IFS(S413&lt;0,"Loss", S413&lt;0.15,"Low Margin",S413&lt;0.3,"Medium High", TRUE, "High Margin")</f>
        <v>High Margin</v>
      </c>
      <c r="X413" t="str">
        <f t="shared" si="83"/>
        <v>07-2024</v>
      </c>
    </row>
    <row r="414" spans="1:24" x14ac:dyDescent="0.3">
      <c r="A414">
        <v>10417</v>
      </c>
      <c r="B414" s="1">
        <v>45314</v>
      </c>
      <c r="C414" t="s">
        <v>29</v>
      </c>
      <c r="D414" t="s">
        <v>12</v>
      </c>
      <c r="E414" t="s">
        <v>35</v>
      </c>
      <c r="F414" t="s">
        <v>14</v>
      </c>
      <c r="G414" t="s">
        <v>20</v>
      </c>
      <c r="I414">
        <v>124492.49</v>
      </c>
      <c r="J414">
        <v>46461.67</v>
      </c>
      <c r="K414">
        <v>151896.07</v>
      </c>
      <c r="L414" t="str">
        <f t="shared" si="72"/>
        <v>Sneha</v>
      </c>
      <c r="M414" t="str">
        <f t="shared" si="73"/>
        <v>South</v>
      </c>
      <c r="N414" t="str">
        <f t="shared" si="74"/>
        <v>Hyderabad</v>
      </c>
      <c r="O414" t="str">
        <f t="shared" si="75"/>
        <v>Enterprise</v>
      </c>
      <c r="P414" s="4" t="str">
        <f t="shared" si="76"/>
        <v>Unknown</v>
      </c>
      <c r="Q414">
        <f t="shared" si="77"/>
        <v>46461.67</v>
      </c>
      <c r="R414" s="6">
        <f t="shared" si="78"/>
        <v>78030.820000000007</v>
      </c>
      <c r="S414">
        <f t="shared" si="79"/>
        <v>0.62679138315893601</v>
      </c>
      <c r="T414">
        <f t="shared" si="80"/>
        <v>0.81958993409111902</v>
      </c>
      <c r="U414">
        <f t="shared" si="81"/>
        <v>-27403.58</v>
      </c>
      <c r="V414" t="str">
        <f t="shared" si="82"/>
        <v>Profitable</v>
      </c>
      <c r="W414" t="str" cm="1">
        <f t="array" ref="W414">_xlfn.IFS(S414&lt;0,"Loss", S414&lt;0.15,"Low Margin",S414&lt;0.3,"Medium High", TRUE, "High Margin")</f>
        <v>High Margin</v>
      </c>
      <c r="X414" t="str">
        <f t="shared" si="83"/>
        <v>01-2024</v>
      </c>
    </row>
    <row r="415" spans="1:24" x14ac:dyDescent="0.3">
      <c r="A415">
        <v>10114</v>
      </c>
      <c r="B415" s="1">
        <v>45509</v>
      </c>
      <c r="C415" t="s">
        <v>36</v>
      </c>
      <c r="D415" t="s">
        <v>12</v>
      </c>
      <c r="E415" t="s">
        <v>24</v>
      </c>
      <c r="F415" t="s">
        <v>32</v>
      </c>
      <c r="G415" t="s">
        <v>20</v>
      </c>
      <c r="H415" t="s">
        <v>33</v>
      </c>
      <c r="I415">
        <v>137191.35999999999</v>
      </c>
      <c r="J415">
        <v>25834.48</v>
      </c>
      <c r="K415">
        <v>83518.75</v>
      </c>
      <c r="L415" t="str">
        <f t="shared" si="72"/>
        <v>Amit</v>
      </c>
      <c r="M415" t="str">
        <f t="shared" si="73"/>
        <v>South</v>
      </c>
      <c r="N415" t="str">
        <f t="shared" si="74"/>
        <v>Chennai</v>
      </c>
      <c r="O415" t="str">
        <f t="shared" si="75"/>
        <v>Smb</v>
      </c>
      <c r="P415" s="4" t="str">
        <f t="shared" si="76"/>
        <v>Partner</v>
      </c>
      <c r="Q415">
        <f t="shared" si="77"/>
        <v>25834.48</v>
      </c>
      <c r="R415" s="6">
        <f t="shared" si="78"/>
        <v>111356.87999999999</v>
      </c>
      <c r="S415">
        <f t="shared" si="79"/>
        <v>0.81169018223888156</v>
      </c>
      <c r="T415">
        <f t="shared" si="80"/>
        <v>1.6426414427897926</v>
      </c>
      <c r="U415">
        <f t="shared" si="81"/>
        <v>53672.609999999986</v>
      </c>
      <c r="V415" t="str">
        <f t="shared" si="82"/>
        <v>Profitable</v>
      </c>
      <c r="W415" t="str" cm="1">
        <f t="array" ref="W415">_xlfn.IFS(S415&lt;0,"Loss", S415&lt;0.15,"Low Margin",S415&lt;0.3,"Medium High", TRUE, "High Margin")</f>
        <v>High Margin</v>
      </c>
      <c r="X415" t="str">
        <f t="shared" si="83"/>
        <v>08-2024</v>
      </c>
    </row>
    <row r="416" spans="1:24" x14ac:dyDescent="0.3">
      <c r="A416">
        <v>10195</v>
      </c>
      <c r="B416" s="1">
        <v>45432</v>
      </c>
      <c r="C416" t="s">
        <v>29</v>
      </c>
      <c r="D416" t="s">
        <v>23</v>
      </c>
      <c r="E416" t="s">
        <v>38</v>
      </c>
      <c r="F416" t="s">
        <v>39</v>
      </c>
      <c r="G416" t="s">
        <v>42</v>
      </c>
      <c r="H416" t="s">
        <v>28</v>
      </c>
      <c r="I416">
        <v>23580.639999999999</v>
      </c>
      <c r="J416">
        <v>60258.93</v>
      </c>
      <c r="K416">
        <v>45010.720000000001</v>
      </c>
      <c r="L416" t="str">
        <f t="shared" si="72"/>
        <v>Sneha</v>
      </c>
      <c r="M416" t="str">
        <f t="shared" si="73"/>
        <v>West</v>
      </c>
      <c r="N416" t="str">
        <f t="shared" si="74"/>
        <v>Delhi</v>
      </c>
      <c r="O416" t="str">
        <f t="shared" si="75"/>
        <v>Enterprise</v>
      </c>
      <c r="P416" s="4" t="str">
        <f t="shared" si="76"/>
        <v>Direct</v>
      </c>
      <c r="Q416">
        <f t="shared" si="77"/>
        <v>60258.93</v>
      </c>
      <c r="R416" s="6">
        <f t="shared" si="78"/>
        <v>-36678.29</v>
      </c>
      <c r="S416">
        <f t="shared" si="79"/>
        <v>-1.5554408192483327</v>
      </c>
      <c r="T416">
        <f t="shared" si="80"/>
        <v>0.52388942012036244</v>
      </c>
      <c r="U416">
        <f t="shared" si="81"/>
        <v>-21430.080000000002</v>
      </c>
      <c r="V416" t="str">
        <f t="shared" si="82"/>
        <v>Unprofitable</v>
      </c>
      <c r="W416" t="str" cm="1">
        <f t="array" ref="W416">_xlfn.IFS(S416&lt;0,"Loss", S416&lt;0.15,"Low Margin",S416&lt;0.3,"Medium High", TRUE, "High Margin")</f>
        <v>Loss</v>
      </c>
      <c r="X416" t="str">
        <f t="shared" si="83"/>
        <v>05-2024</v>
      </c>
    </row>
    <row r="417" spans="1:24" x14ac:dyDescent="0.3">
      <c r="A417">
        <v>10500</v>
      </c>
      <c r="B417" s="1">
        <v>45395</v>
      </c>
      <c r="C417" t="s">
        <v>11</v>
      </c>
      <c r="E417" t="s">
        <v>38</v>
      </c>
      <c r="F417" t="s">
        <v>39</v>
      </c>
      <c r="G417" t="s">
        <v>42</v>
      </c>
      <c r="H417" t="s">
        <v>16</v>
      </c>
      <c r="I417">
        <v>190686.22</v>
      </c>
      <c r="J417">
        <v>89772.05</v>
      </c>
      <c r="K417">
        <v>138072.15</v>
      </c>
      <c r="L417" t="str">
        <f t="shared" si="72"/>
        <v>Rahul</v>
      </c>
      <c r="M417" t="str">
        <f t="shared" si="73"/>
        <v>Unknown</v>
      </c>
      <c r="N417" t="str">
        <f t="shared" si="74"/>
        <v>Delhi</v>
      </c>
      <c r="O417" t="str">
        <f t="shared" si="75"/>
        <v>Enterprise</v>
      </c>
      <c r="P417" s="4" t="str">
        <f t="shared" si="76"/>
        <v>direct</v>
      </c>
      <c r="Q417">
        <f t="shared" si="77"/>
        <v>89772.05</v>
      </c>
      <c r="R417" s="6">
        <f t="shared" si="78"/>
        <v>100914.17</v>
      </c>
      <c r="S417">
        <f t="shared" si="79"/>
        <v>0.52921584999692162</v>
      </c>
      <c r="T417">
        <f t="shared" si="80"/>
        <v>1.3810621475800877</v>
      </c>
      <c r="U417">
        <f t="shared" si="81"/>
        <v>52614.070000000007</v>
      </c>
      <c r="V417" t="str">
        <f t="shared" si="82"/>
        <v>Profitable</v>
      </c>
      <c r="W417" t="str" cm="1">
        <f t="array" ref="W417">_xlfn.IFS(S417&lt;0,"Loss", S417&lt;0.15,"Low Margin",S417&lt;0.3,"Medium High", TRUE, "High Margin")</f>
        <v>High Margin</v>
      </c>
      <c r="X417" t="str">
        <f t="shared" si="83"/>
        <v>04-2024</v>
      </c>
    </row>
    <row r="418" spans="1:24" x14ac:dyDescent="0.3">
      <c r="A418">
        <v>10492</v>
      </c>
      <c r="B418" s="1">
        <v>45501</v>
      </c>
      <c r="C418" t="s">
        <v>41</v>
      </c>
      <c r="D418" t="s">
        <v>37</v>
      </c>
      <c r="E418" t="s">
        <v>18</v>
      </c>
      <c r="F418" t="s">
        <v>39</v>
      </c>
      <c r="G418" t="s">
        <v>20</v>
      </c>
      <c r="H418" t="s">
        <v>33</v>
      </c>
      <c r="I418">
        <v>168990.43</v>
      </c>
      <c r="K418">
        <v>77675.92</v>
      </c>
      <c r="L418" t="str">
        <f t="shared" si="72"/>
        <v>Neha</v>
      </c>
      <c r="M418" t="str">
        <f t="shared" si="73"/>
        <v>North</v>
      </c>
      <c r="N418" t="str">
        <f t="shared" si="74"/>
        <v>Bengaluru</v>
      </c>
      <c r="O418" t="str">
        <f t="shared" si="75"/>
        <v>Enterprise</v>
      </c>
      <c r="P418" s="4" t="str">
        <f t="shared" si="76"/>
        <v>Partner</v>
      </c>
      <c r="Q418">
        <f t="shared" si="77"/>
        <v>0</v>
      </c>
      <c r="R418" s="6">
        <f t="shared" si="78"/>
        <v>168990.43</v>
      </c>
      <c r="S418">
        <f t="shared" si="79"/>
        <v>1</v>
      </c>
      <c r="T418">
        <f t="shared" si="80"/>
        <v>2.1755832438161016</v>
      </c>
      <c r="U418">
        <f t="shared" si="81"/>
        <v>91314.51</v>
      </c>
      <c r="V418" t="str">
        <f t="shared" si="82"/>
        <v>Profitable</v>
      </c>
      <c r="W418" t="str" cm="1">
        <f t="array" ref="W418">_xlfn.IFS(S418&lt;0,"Loss", S418&lt;0.15,"Low Margin",S418&lt;0.3,"Medium High", TRUE, "High Margin")</f>
        <v>High Margin</v>
      </c>
      <c r="X418" t="str">
        <f t="shared" si="83"/>
        <v>07-2024</v>
      </c>
    </row>
    <row r="419" spans="1:24" x14ac:dyDescent="0.3">
      <c r="A419">
        <v>10074</v>
      </c>
      <c r="B419" s="1">
        <v>45402</v>
      </c>
      <c r="C419" t="s">
        <v>41</v>
      </c>
      <c r="D419" t="s">
        <v>37</v>
      </c>
      <c r="E419" t="s">
        <v>44</v>
      </c>
      <c r="G419" t="s">
        <v>43</v>
      </c>
      <c r="H419" t="s">
        <v>21</v>
      </c>
      <c r="I419">
        <v>162577.34</v>
      </c>
      <c r="K419">
        <v>127403.33</v>
      </c>
      <c r="L419" t="str">
        <f t="shared" si="72"/>
        <v>Neha</v>
      </c>
      <c r="M419" t="str">
        <f t="shared" si="73"/>
        <v>North</v>
      </c>
      <c r="N419" t="str">
        <f t="shared" si="74"/>
        <v>Pune</v>
      </c>
      <c r="O419" t="str">
        <f t="shared" si="75"/>
        <v>Unknown</v>
      </c>
      <c r="P419" s="4" t="str">
        <f t="shared" si="76"/>
        <v>Online</v>
      </c>
      <c r="Q419">
        <f t="shared" si="77"/>
        <v>0</v>
      </c>
      <c r="R419" s="6">
        <f t="shared" si="78"/>
        <v>162577.34</v>
      </c>
      <c r="S419">
        <f t="shared" si="79"/>
        <v>1</v>
      </c>
      <c r="T419">
        <f t="shared" si="80"/>
        <v>1.2760839139761888</v>
      </c>
      <c r="U419">
        <f t="shared" si="81"/>
        <v>35174.009999999995</v>
      </c>
      <c r="V419" t="str">
        <f t="shared" si="82"/>
        <v>Profitable</v>
      </c>
      <c r="W419" t="str" cm="1">
        <f t="array" ref="W419">_xlfn.IFS(S419&lt;0,"Loss", S419&lt;0.15,"Low Margin",S419&lt;0.3,"Medium High", TRUE, "High Margin")</f>
        <v>High Margin</v>
      </c>
      <c r="X419" t="str">
        <f t="shared" si="83"/>
        <v>04-2024</v>
      </c>
    </row>
    <row r="420" spans="1:24" x14ac:dyDescent="0.3">
      <c r="A420">
        <v>10412</v>
      </c>
      <c r="B420" s="1">
        <v>45395</v>
      </c>
      <c r="C420" t="s">
        <v>25</v>
      </c>
      <c r="D420" t="s">
        <v>37</v>
      </c>
      <c r="E420" t="s">
        <v>18</v>
      </c>
      <c r="G420" t="s">
        <v>40</v>
      </c>
      <c r="H420" t="s">
        <v>28</v>
      </c>
      <c r="I420">
        <v>166012.89000000001</v>
      </c>
      <c r="J420">
        <v>101072.96000000001</v>
      </c>
      <c r="K420">
        <v>63303.03</v>
      </c>
      <c r="L420" t="str">
        <f t="shared" si="72"/>
        <v>Priya</v>
      </c>
      <c r="M420" t="str">
        <f t="shared" si="73"/>
        <v>North</v>
      </c>
      <c r="N420" t="str">
        <f t="shared" si="74"/>
        <v>Bengaluru</v>
      </c>
      <c r="O420" t="str">
        <f t="shared" si="75"/>
        <v>Unknown</v>
      </c>
      <c r="P420" s="4" t="str">
        <f t="shared" si="76"/>
        <v>Direct</v>
      </c>
      <c r="Q420">
        <f t="shared" si="77"/>
        <v>101072.96000000001</v>
      </c>
      <c r="R420" s="6">
        <f t="shared" si="78"/>
        <v>64939.930000000008</v>
      </c>
      <c r="S420">
        <f t="shared" si="79"/>
        <v>0.39117402269185242</v>
      </c>
      <c r="T420">
        <f t="shared" si="80"/>
        <v>2.6225109603758305</v>
      </c>
      <c r="U420">
        <f t="shared" si="81"/>
        <v>102709.86000000002</v>
      </c>
      <c r="V420" t="str">
        <f t="shared" si="82"/>
        <v>Profitable</v>
      </c>
      <c r="W420" t="str" cm="1">
        <f t="array" ref="W420">_xlfn.IFS(S420&lt;0,"Loss", S420&lt;0.15,"Low Margin",S420&lt;0.3,"Medium High", TRUE, "High Margin")</f>
        <v>High Margin</v>
      </c>
      <c r="X420" t="str">
        <f t="shared" si="83"/>
        <v>04-2024</v>
      </c>
    </row>
    <row r="421" spans="1:24" x14ac:dyDescent="0.3">
      <c r="A421">
        <v>10375</v>
      </c>
      <c r="B421" s="1">
        <v>45462</v>
      </c>
      <c r="C421" t="s">
        <v>45</v>
      </c>
      <c r="D421" t="s">
        <v>37</v>
      </c>
      <c r="E421" t="s">
        <v>35</v>
      </c>
      <c r="F421" t="s">
        <v>32</v>
      </c>
      <c r="G421" t="s">
        <v>42</v>
      </c>
      <c r="H421" t="s">
        <v>21</v>
      </c>
      <c r="I421">
        <v>187080.42</v>
      </c>
      <c r="J421">
        <v>45284.24</v>
      </c>
      <c r="K421">
        <v>32996.74</v>
      </c>
      <c r="L421" t="str">
        <f t="shared" si="72"/>
        <v>Rahul</v>
      </c>
      <c r="M421" t="str">
        <f t="shared" si="73"/>
        <v>North</v>
      </c>
      <c r="N421" t="str">
        <f t="shared" si="74"/>
        <v>Hyderabad</v>
      </c>
      <c r="O421" t="str">
        <f t="shared" si="75"/>
        <v>Smb</v>
      </c>
      <c r="P421" s="4" t="str">
        <f t="shared" si="76"/>
        <v>Online</v>
      </c>
      <c r="Q421">
        <f t="shared" si="77"/>
        <v>45284.24</v>
      </c>
      <c r="R421" s="6">
        <f t="shared" si="78"/>
        <v>141796.18000000002</v>
      </c>
      <c r="S421">
        <f t="shared" si="79"/>
        <v>0.75794238648812107</v>
      </c>
      <c r="T421">
        <f t="shared" si="80"/>
        <v>5.6696637304170059</v>
      </c>
      <c r="U421">
        <f t="shared" si="81"/>
        <v>154083.68000000002</v>
      </c>
      <c r="V421" t="str">
        <f t="shared" si="82"/>
        <v>Profitable</v>
      </c>
      <c r="W421" t="str" cm="1">
        <f t="array" ref="W421">_xlfn.IFS(S421&lt;0,"Loss", S421&lt;0.15,"Low Margin",S421&lt;0.3,"Medium High", TRUE, "High Margin")</f>
        <v>High Margin</v>
      </c>
      <c r="X421" t="str">
        <f t="shared" si="83"/>
        <v>06-2024</v>
      </c>
    </row>
    <row r="422" spans="1:24" x14ac:dyDescent="0.3">
      <c r="A422">
        <v>10419</v>
      </c>
      <c r="B422" s="1">
        <v>45424</v>
      </c>
      <c r="C422" t="s">
        <v>25</v>
      </c>
      <c r="D422" t="s">
        <v>31</v>
      </c>
      <c r="E422" t="s">
        <v>35</v>
      </c>
      <c r="F422" t="s">
        <v>14</v>
      </c>
      <c r="G422" t="s">
        <v>43</v>
      </c>
      <c r="H422" t="s">
        <v>28</v>
      </c>
      <c r="I422">
        <v>112496.76</v>
      </c>
      <c r="J422">
        <v>103595.98</v>
      </c>
      <c r="K422">
        <v>178813.09</v>
      </c>
      <c r="L422" t="str">
        <f t="shared" si="72"/>
        <v>Priya</v>
      </c>
      <c r="M422" t="str">
        <f t="shared" si="73"/>
        <v>South</v>
      </c>
      <c r="N422" t="str">
        <f t="shared" si="74"/>
        <v>Hyderabad</v>
      </c>
      <c r="O422" t="str">
        <f t="shared" si="75"/>
        <v>Enterprise</v>
      </c>
      <c r="P422" s="4" t="str">
        <f t="shared" si="76"/>
        <v>Direct</v>
      </c>
      <c r="Q422">
        <f t="shared" si="77"/>
        <v>103595.98</v>
      </c>
      <c r="R422" s="6">
        <f t="shared" si="78"/>
        <v>8900.7799999999988</v>
      </c>
      <c r="S422">
        <f t="shared" si="79"/>
        <v>7.9120323109749993E-2</v>
      </c>
      <c r="T422">
        <f t="shared" si="80"/>
        <v>0.62913045124380995</v>
      </c>
      <c r="U422">
        <f t="shared" si="81"/>
        <v>-66316.33</v>
      </c>
      <c r="V422" t="str">
        <f t="shared" si="82"/>
        <v>Profitable</v>
      </c>
      <c r="W422" t="str" cm="1">
        <f t="array" ref="W422">_xlfn.IFS(S422&lt;0,"Loss", S422&lt;0.15,"Low Margin",S422&lt;0.3,"Medium High", TRUE, "High Margin")</f>
        <v>Low Margin</v>
      </c>
      <c r="X422" t="str">
        <f t="shared" si="83"/>
        <v>05-2024</v>
      </c>
    </row>
    <row r="423" spans="1:24" x14ac:dyDescent="0.3">
      <c r="A423">
        <v>10276</v>
      </c>
      <c r="B423" s="1">
        <v>45418</v>
      </c>
      <c r="C423" t="s">
        <v>22</v>
      </c>
      <c r="D423" t="s">
        <v>37</v>
      </c>
      <c r="E423" t="s">
        <v>26</v>
      </c>
      <c r="F423" t="s">
        <v>32</v>
      </c>
      <c r="G423" t="s">
        <v>27</v>
      </c>
      <c r="H423" t="s">
        <v>16</v>
      </c>
      <c r="I423">
        <v>46454.15</v>
      </c>
      <c r="J423">
        <v>50596.160000000003</v>
      </c>
      <c r="K423">
        <v>44992.24</v>
      </c>
      <c r="L423" t="str">
        <f t="shared" si="72"/>
        <v>Amit</v>
      </c>
      <c r="M423" t="str">
        <f t="shared" si="73"/>
        <v>North</v>
      </c>
      <c r="N423" t="str">
        <f t="shared" si="74"/>
        <v>Mumbai</v>
      </c>
      <c r="O423" t="str">
        <f t="shared" si="75"/>
        <v>Smb</v>
      </c>
      <c r="P423" s="4" t="str">
        <f t="shared" si="76"/>
        <v>direct</v>
      </c>
      <c r="Q423">
        <f t="shared" si="77"/>
        <v>50596.160000000003</v>
      </c>
      <c r="R423" s="6">
        <f t="shared" si="78"/>
        <v>-4142.010000000002</v>
      </c>
      <c r="S423">
        <f t="shared" si="79"/>
        <v>-8.9163400901749401E-2</v>
      </c>
      <c r="T423">
        <f t="shared" si="80"/>
        <v>1.0324924920386271</v>
      </c>
      <c r="U423">
        <f t="shared" si="81"/>
        <v>1461.9100000000035</v>
      </c>
      <c r="V423" t="str">
        <f t="shared" si="82"/>
        <v>Unprofitable</v>
      </c>
      <c r="W423" t="str" cm="1">
        <f t="array" ref="W423">_xlfn.IFS(S423&lt;0,"Loss", S423&lt;0.15,"Low Margin",S423&lt;0.3,"Medium High", TRUE, "High Margin")</f>
        <v>Loss</v>
      </c>
      <c r="X423" t="str">
        <f t="shared" si="83"/>
        <v>05-2024</v>
      </c>
    </row>
    <row r="424" spans="1:24" x14ac:dyDescent="0.3">
      <c r="A424">
        <v>10393</v>
      </c>
      <c r="B424" s="1">
        <v>45397</v>
      </c>
      <c r="C424" t="s">
        <v>36</v>
      </c>
      <c r="D424" t="s">
        <v>31</v>
      </c>
      <c r="F424" t="s">
        <v>19</v>
      </c>
      <c r="G424" t="s">
        <v>42</v>
      </c>
      <c r="H424" t="s">
        <v>16</v>
      </c>
      <c r="I424">
        <v>126422.45</v>
      </c>
      <c r="J424">
        <v>41403.269999999997</v>
      </c>
      <c r="K424">
        <v>178147.36</v>
      </c>
      <c r="L424" t="str">
        <f t="shared" si="72"/>
        <v>Amit</v>
      </c>
      <c r="M424" t="str">
        <f t="shared" si="73"/>
        <v>South</v>
      </c>
      <c r="N424" t="str">
        <f t="shared" si="74"/>
        <v>Unknown</v>
      </c>
      <c r="O424" t="str">
        <f t="shared" si="75"/>
        <v>Startup</v>
      </c>
      <c r="P424" s="4" t="str">
        <f t="shared" si="76"/>
        <v>direct</v>
      </c>
      <c r="Q424">
        <f t="shared" si="77"/>
        <v>41403.269999999997</v>
      </c>
      <c r="R424" s="6">
        <f t="shared" si="78"/>
        <v>85019.18</v>
      </c>
      <c r="S424">
        <f t="shared" si="79"/>
        <v>0.67250065158522077</v>
      </c>
      <c r="T424">
        <f t="shared" si="80"/>
        <v>0.70965098781143887</v>
      </c>
      <c r="U424">
        <f t="shared" si="81"/>
        <v>-51724.909999999989</v>
      </c>
      <c r="V424" t="str">
        <f t="shared" si="82"/>
        <v>Profitable</v>
      </c>
      <c r="W424" t="str" cm="1">
        <f t="array" ref="W424">_xlfn.IFS(S424&lt;0,"Loss", S424&lt;0.15,"Low Margin",S424&lt;0.3,"Medium High", TRUE, "High Margin")</f>
        <v>High Margin</v>
      </c>
      <c r="X424" t="str">
        <f t="shared" si="83"/>
        <v>04-2024</v>
      </c>
    </row>
    <row r="425" spans="1:24" x14ac:dyDescent="0.3">
      <c r="A425">
        <v>10456</v>
      </c>
      <c r="B425" s="1">
        <v>45383</v>
      </c>
      <c r="C425" t="s">
        <v>29</v>
      </c>
      <c r="D425" t="s">
        <v>31</v>
      </c>
      <c r="E425" t="s">
        <v>35</v>
      </c>
      <c r="F425" t="s">
        <v>39</v>
      </c>
      <c r="G425" t="s">
        <v>43</v>
      </c>
      <c r="I425">
        <v>150633.25</v>
      </c>
      <c r="J425">
        <v>56116.82</v>
      </c>
      <c r="K425">
        <v>176364.79</v>
      </c>
      <c r="L425" t="str">
        <f t="shared" si="72"/>
        <v>Sneha</v>
      </c>
      <c r="M425" t="str">
        <f t="shared" si="73"/>
        <v>South</v>
      </c>
      <c r="N425" t="str">
        <f t="shared" si="74"/>
        <v>Hyderabad</v>
      </c>
      <c r="O425" t="str">
        <f t="shared" si="75"/>
        <v>Enterprise</v>
      </c>
      <c r="P425" s="4" t="str">
        <f t="shared" si="76"/>
        <v>Unknown</v>
      </c>
      <c r="Q425">
        <f t="shared" si="77"/>
        <v>56116.82</v>
      </c>
      <c r="R425" s="6">
        <f t="shared" si="78"/>
        <v>94516.43</v>
      </c>
      <c r="S425">
        <f t="shared" si="79"/>
        <v>0.6274606038175502</v>
      </c>
      <c r="T425">
        <f t="shared" si="80"/>
        <v>0.85410046982733911</v>
      </c>
      <c r="U425">
        <f t="shared" si="81"/>
        <v>-25731.540000000008</v>
      </c>
      <c r="V425" t="str">
        <f t="shared" si="82"/>
        <v>Profitable</v>
      </c>
      <c r="W425" t="str" cm="1">
        <f t="array" ref="W425">_xlfn.IFS(S425&lt;0,"Loss", S425&lt;0.15,"Low Margin",S425&lt;0.3,"Medium High", TRUE, "High Margin")</f>
        <v>High Margin</v>
      </c>
      <c r="X425" t="str">
        <f t="shared" si="83"/>
        <v>04-2024</v>
      </c>
    </row>
    <row r="426" spans="1:24" x14ac:dyDescent="0.3">
      <c r="A426">
        <v>10191</v>
      </c>
      <c r="B426" s="1">
        <v>45342</v>
      </c>
      <c r="C426" t="s">
        <v>45</v>
      </c>
      <c r="E426" t="s">
        <v>26</v>
      </c>
      <c r="F426" t="s">
        <v>39</v>
      </c>
      <c r="G426" t="s">
        <v>43</v>
      </c>
      <c r="H426" t="s">
        <v>21</v>
      </c>
      <c r="I426">
        <v>149680.14000000001</v>
      </c>
      <c r="J426">
        <v>92206.29</v>
      </c>
      <c r="K426">
        <v>147010.9</v>
      </c>
      <c r="L426" t="str">
        <f t="shared" si="72"/>
        <v>Rahul</v>
      </c>
      <c r="M426" t="str">
        <f t="shared" si="73"/>
        <v>Unknown</v>
      </c>
      <c r="N426" t="str">
        <f t="shared" si="74"/>
        <v>Mumbai</v>
      </c>
      <c r="O426" t="str">
        <f t="shared" si="75"/>
        <v>Enterprise</v>
      </c>
      <c r="P426" s="4" t="str">
        <f t="shared" si="76"/>
        <v>Online</v>
      </c>
      <c r="Q426">
        <f t="shared" si="77"/>
        <v>92206.29</v>
      </c>
      <c r="R426" s="6">
        <f t="shared" si="78"/>
        <v>57473.85000000002</v>
      </c>
      <c r="S426">
        <f t="shared" si="79"/>
        <v>0.38397779424845552</v>
      </c>
      <c r="T426">
        <f t="shared" si="80"/>
        <v>1.0181567489213386</v>
      </c>
      <c r="U426">
        <f t="shared" si="81"/>
        <v>2669.2400000000198</v>
      </c>
      <c r="V426" t="str">
        <f t="shared" si="82"/>
        <v>Profitable</v>
      </c>
      <c r="W426" t="str" cm="1">
        <f t="array" ref="W426">_xlfn.IFS(S426&lt;0,"Loss", S426&lt;0.15,"Low Margin",S426&lt;0.3,"Medium High", TRUE, "High Margin")</f>
        <v>High Margin</v>
      </c>
      <c r="X426" t="str">
        <f t="shared" si="83"/>
        <v>02-2024</v>
      </c>
    </row>
    <row r="427" spans="1:24" x14ac:dyDescent="0.3">
      <c r="A427">
        <v>10098</v>
      </c>
      <c r="B427" s="1">
        <v>45320</v>
      </c>
      <c r="C427" t="s">
        <v>22</v>
      </c>
      <c r="D427" t="s">
        <v>37</v>
      </c>
      <c r="E427" t="s">
        <v>24</v>
      </c>
      <c r="F427" t="s">
        <v>39</v>
      </c>
      <c r="G427" t="s">
        <v>40</v>
      </c>
      <c r="H427" t="s">
        <v>28</v>
      </c>
      <c r="I427">
        <v>108118.21</v>
      </c>
      <c r="J427">
        <v>17742.240000000002</v>
      </c>
      <c r="L427" t="str">
        <f t="shared" si="72"/>
        <v>Amit</v>
      </c>
      <c r="M427" t="str">
        <f t="shared" si="73"/>
        <v>North</v>
      </c>
      <c r="N427" t="str">
        <f t="shared" si="74"/>
        <v>Chennai</v>
      </c>
      <c r="O427" t="str">
        <f t="shared" si="75"/>
        <v>Enterprise</v>
      </c>
      <c r="P427" s="4" t="str">
        <f t="shared" si="76"/>
        <v>Direct</v>
      </c>
      <c r="Q427">
        <f t="shared" si="77"/>
        <v>17742.240000000002</v>
      </c>
      <c r="R427" s="6">
        <f t="shared" si="78"/>
        <v>90375.97</v>
      </c>
      <c r="S427">
        <f t="shared" si="79"/>
        <v>0.83589961395032342</v>
      </c>
      <c r="T427">
        <f t="shared" si="80"/>
        <v>0</v>
      </c>
      <c r="U427">
        <f t="shared" si="81"/>
        <v>108118.21</v>
      </c>
      <c r="V427" t="str">
        <f t="shared" si="82"/>
        <v>Profitable</v>
      </c>
      <c r="W427" t="str" cm="1">
        <f t="array" ref="W427">_xlfn.IFS(S427&lt;0,"Loss", S427&lt;0.15,"Low Margin",S427&lt;0.3,"Medium High", TRUE, "High Margin")</f>
        <v>High Margin</v>
      </c>
      <c r="X427" t="str">
        <f t="shared" si="83"/>
        <v>01-2024</v>
      </c>
    </row>
    <row r="428" spans="1:24" x14ac:dyDescent="0.3">
      <c r="A428">
        <v>10547</v>
      </c>
      <c r="B428" s="1">
        <v>45505</v>
      </c>
      <c r="C428" t="s">
        <v>41</v>
      </c>
      <c r="D428" t="s">
        <v>34</v>
      </c>
      <c r="E428" t="s">
        <v>18</v>
      </c>
      <c r="F428" t="s">
        <v>32</v>
      </c>
      <c r="G428" t="s">
        <v>40</v>
      </c>
      <c r="H428" t="s">
        <v>16</v>
      </c>
      <c r="I428">
        <v>21144.07</v>
      </c>
      <c r="K428">
        <v>112449.13</v>
      </c>
      <c r="L428" t="str">
        <f t="shared" si="72"/>
        <v>Neha</v>
      </c>
      <c r="M428" t="str">
        <f t="shared" si="73"/>
        <v>East</v>
      </c>
      <c r="N428" t="str">
        <f t="shared" si="74"/>
        <v>Bengaluru</v>
      </c>
      <c r="O428" t="str">
        <f t="shared" si="75"/>
        <v>Smb</v>
      </c>
      <c r="P428" s="4" t="str">
        <f t="shared" si="76"/>
        <v>direct</v>
      </c>
      <c r="Q428">
        <f t="shared" si="77"/>
        <v>0</v>
      </c>
      <c r="R428" s="6">
        <f t="shared" si="78"/>
        <v>21144.07</v>
      </c>
      <c r="S428">
        <f t="shared" si="79"/>
        <v>1</v>
      </c>
      <c r="T428">
        <f t="shared" si="80"/>
        <v>0.1880323129222965</v>
      </c>
      <c r="U428">
        <f t="shared" si="81"/>
        <v>-91305.06</v>
      </c>
      <c r="V428" t="str">
        <f t="shared" si="82"/>
        <v>Profitable</v>
      </c>
      <c r="W428" t="str" cm="1">
        <f t="array" ref="W428">_xlfn.IFS(S428&lt;0,"Loss", S428&lt;0.15,"Low Margin",S428&lt;0.3,"Medium High", TRUE, "High Margin")</f>
        <v>High Margin</v>
      </c>
      <c r="X428" t="str">
        <f t="shared" si="83"/>
        <v>08-2024</v>
      </c>
    </row>
    <row r="429" spans="1:24" x14ac:dyDescent="0.3">
      <c r="A429">
        <v>10095</v>
      </c>
      <c r="B429" s="1">
        <v>45558</v>
      </c>
      <c r="C429" t="s">
        <v>41</v>
      </c>
      <c r="D429" t="s">
        <v>17</v>
      </c>
      <c r="E429" t="s">
        <v>13</v>
      </c>
      <c r="F429" t="s">
        <v>32</v>
      </c>
      <c r="G429" t="s">
        <v>27</v>
      </c>
      <c r="H429" t="s">
        <v>33</v>
      </c>
      <c r="I429">
        <v>79253.679999999993</v>
      </c>
      <c r="J429">
        <v>114319.03999999999</v>
      </c>
      <c r="K429">
        <v>158576.25</v>
      </c>
      <c r="L429" t="str">
        <f t="shared" si="72"/>
        <v>Neha</v>
      </c>
      <c r="M429" t="str">
        <f t="shared" si="73"/>
        <v>West</v>
      </c>
      <c r="N429" t="str">
        <f t="shared" si="74"/>
        <v>Bengaluru</v>
      </c>
      <c r="O429" t="str">
        <f t="shared" si="75"/>
        <v>Smb</v>
      </c>
      <c r="P429" s="4" t="str">
        <f t="shared" si="76"/>
        <v>Partner</v>
      </c>
      <c r="Q429">
        <f t="shared" si="77"/>
        <v>114319.03999999999</v>
      </c>
      <c r="R429" s="6">
        <f t="shared" si="78"/>
        <v>-35065.360000000001</v>
      </c>
      <c r="S429">
        <f t="shared" si="79"/>
        <v>-0.44244456535015159</v>
      </c>
      <c r="T429">
        <f t="shared" si="80"/>
        <v>0.49978278588376251</v>
      </c>
      <c r="U429">
        <f t="shared" si="81"/>
        <v>-79322.570000000007</v>
      </c>
      <c r="V429" t="str">
        <f t="shared" si="82"/>
        <v>Unprofitable</v>
      </c>
      <c r="W429" t="str" cm="1">
        <f t="array" ref="W429">_xlfn.IFS(S429&lt;0,"Loss", S429&lt;0.15,"Low Margin",S429&lt;0.3,"Medium High", TRUE, "High Margin")</f>
        <v>Loss</v>
      </c>
      <c r="X429" t="str">
        <f t="shared" si="83"/>
        <v>09-2024</v>
      </c>
    </row>
    <row r="430" spans="1:24" x14ac:dyDescent="0.3">
      <c r="A430">
        <v>10189</v>
      </c>
      <c r="B430" s="1">
        <v>45548</v>
      </c>
      <c r="C430" t="s">
        <v>25</v>
      </c>
      <c r="D430" t="s">
        <v>12</v>
      </c>
      <c r="E430" t="s">
        <v>24</v>
      </c>
      <c r="F430" t="s">
        <v>39</v>
      </c>
      <c r="G430" t="s">
        <v>43</v>
      </c>
      <c r="H430" t="s">
        <v>16</v>
      </c>
      <c r="I430">
        <v>184787.19</v>
      </c>
      <c r="J430">
        <v>23532.52</v>
      </c>
      <c r="K430">
        <v>66310.320000000007</v>
      </c>
      <c r="L430" t="str">
        <f t="shared" si="72"/>
        <v>Priya</v>
      </c>
      <c r="M430" t="str">
        <f t="shared" si="73"/>
        <v>South</v>
      </c>
      <c r="N430" t="str">
        <f t="shared" si="74"/>
        <v>Chennai</v>
      </c>
      <c r="O430" t="str">
        <f t="shared" si="75"/>
        <v>Enterprise</v>
      </c>
      <c r="P430" s="4" t="str">
        <f t="shared" si="76"/>
        <v>direct</v>
      </c>
      <c r="Q430">
        <f t="shared" si="77"/>
        <v>23532.52</v>
      </c>
      <c r="R430" s="6">
        <f t="shared" si="78"/>
        <v>161254.67000000001</v>
      </c>
      <c r="S430">
        <f t="shared" si="79"/>
        <v>0.87265069618732771</v>
      </c>
      <c r="T430">
        <f t="shared" si="80"/>
        <v>2.7867033366751959</v>
      </c>
      <c r="U430">
        <f t="shared" si="81"/>
        <v>118476.87</v>
      </c>
      <c r="V430" t="str">
        <f t="shared" si="82"/>
        <v>Profitable</v>
      </c>
      <c r="W430" t="str" cm="1">
        <f t="array" ref="W430">_xlfn.IFS(S430&lt;0,"Loss", S430&lt;0.15,"Low Margin",S430&lt;0.3,"Medium High", TRUE, "High Margin")</f>
        <v>High Margin</v>
      </c>
      <c r="X430" t="str">
        <f t="shared" si="83"/>
        <v>09-2024</v>
      </c>
    </row>
    <row r="431" spans="1:24" x14ac:dyDescent="0.3">
      <c r="A431">
        <v>10036</v>
      </c>
      <c r="B431" s="1">
        <v>45392</v>
      </c>
      <c r="C431" t="s">
        <v>36</v>
      </c>
      <c r="D431" t="s">
        <v>31</v>
      </c>
      <c r="E431" t="s">
        <v>35</v>
      </c>
      <c r="F431" t="s">
        <v>32</v>
      </c>
      <c r="G431" t="s">
        <v>15</v>
      </c>
      <c r="H431" t="s">
        <v>33</v>
      </c>
      <c r="I431">
        <v>120214.19</v>
      </c>
      <c r="J431">
        <v>69424.100000000006</v>
      </c>
      <c r="K431">
        <v>94828.99</v>
      </c>
      <c r="L431" t="str">
        <f t="shared" si="72"/>
        <v>Amit</v>
      </c>
      <c r="M431" t="str">
        <f t="shared" si="73"/>
        <v>South</v>
      </c>
      <c r="N431" t="str">
        <f t="shared" si="74"/>
        <v>Hyderabad</v>
      </c>
      <c r="O431" t="str">
        <f t="shared" si="75"/>
        <v>Smb</v>
      </c>
      <c r="P431" s="4" t="str">
        <f t="shared" si="76"/>
        <v>Partner</v>
      </c>
      <c r="Q431">
        <f t="shared" si="77"/>
        <v>69424.100000000006</v>
      </c>
      <c r="R431" s="6">
        <f t="shared" si="78"/>
        <v>50790.09</v>
      </c>
      <c r="S431">
        <f t="shared" si="79"/>
        <v>0.42249662872577687</v>
      </c>
      <c r="T431">
        <f t="shared" si="80"/>
        <v>1.267694509875092</v>
      </c>
      <c r="U431">
        <f t="shared" si="81"/>
        <v>25385.199999999997</v>
      </c>
      <c r="V431" t="str">
        <f t="shared" si="82"/>
        <v>Profitable</v>
      </c>
      <c r="W431" t="str" cm="1">
        <f t="array" ref="W431">_xlfn.IFS(S431&lt;0,"Loss", S431&lt;0.15,"Low Margin",S431&lt;0.3,"Medium High", TRUE, "High Margin")</f>
        <v>High Margin</v>
      </c>
      <c r="X431" t="str">
        <f t="shared" si="83"/>
        <v>04-2024</v>
      </c>
    </row>
    <row r="432" spans="1:24" x14ac:dyDescent="0.3">
      <c r="A432">
        <v>10368</v>
      </c>
      <c r="B432" s="1">
        <v>45401</v>
      </c>
      <c r="C432" t="s">
        <v>45</v>
      </c>
      <c r="D432" t="s">
        <v>23</v>
      </c>
      <c r="E432" t="s">
        <v>24</v>
      </c>
      <c r="G432" t="s">
        <v>43</v>
      </c>
      <c r="H432" t="s">
        <v>28</v>
      </c>
      <c r="I432">
        <v>111359.73</v>
      </c>
      <c r="J432">
        <v>70779.789999999994</v>
      </c>
      <c r="L432" t="str">
        <f t="shared" si="72"/>
        <v>Rahul</v>
      </c>
      <c r="M432" t="str">
        <f t="shared" si="73"/>
        <v>West</v>
      </c>
      <c r="N432" t="str">
        <f t="shared" si="74"/>
        <v>Chennai</v>
      </c>
      <c r="O432" t="str">
        <f t="shared" si="75"/>
        <v>Unknown</v>
      </c>
      <c r="P432" s="4" t="str">
        <f t="shared" si="76"/>
        <v>Direct</v>
      </c>
      <c r="Q432">
        <f t="shared" si="77"/>
        <v>70779.789999999994</v>
      </c>
      <c r="R432" s="6">
        <f t="shared" si="78"/>
        <v>40579.94</v>
      </c>
      <c r="S432">
        <f t="shared" si="79"/>
        <v>0.36440408036190464</v>
      </c>
      <c r="T432">
        <f t="shared" si="80"/>
        <v>0</v>
      </c>
      <c r="U432">
        <f t="shared" si="81"/>
        <v>111359.73</v>
      </c>
      <c r="V432" t="str">
        <f t="shared" si="82"/>
        <v>Profitable</v>
      </c>
      <c r="W432" t="str" cm="1">
        <f t="array" ref="W432">_xlfn.IFS(S432&lt;0,"Loss", S432&lt;0.15,"Low Margin",S432&lt;0.3,"Medium High", TRUE, "High Margin")</f>
        <v>High Margin</v>
      </c>
      <c r="X432" t="str">
        <f t="shared" si="83"/>
        <v>04-2024</v>
      </c>
    </row>
    <row r="433" spans="1:24" x14ac:dyDescent="0.3">
      <c r="A433">
        <v>10524</v>
      </c>
      <c r="B433" s="1">
        <v>45473</v>
      </c>
      <c r="D433" t="s">
        <v>23</v>
      </c>
      <c r="E433" t="s">
        <v>24</v>
      </c>
      <c r="G433" t="s">
        <v>40</v>
      </c>
      <c r="H433" t="s">
        <v>16</v>
      </c>
      <c r="I433">
        <v>59619.87</v>
      </c>
      <c r="J433">
        <v>60286.06</v>
      </c>
      <c r="K433">
        <v>85790.48</v>
      </c>
      <c r="L433" t="str">
        <f t="shared" si="72"/>
        <v>Unassigned</v>
      </c>
      <c r="M433" t="str">
        <f t="shared" si="73"/>
        <v>West</v>
      </c>
      <c r="N433" t="str">
        <f t="shared" si="74"/>
        <v>Chennai</v>
      </c>
      <c r="O433" t="str">
        <f t="shared" si="75"/>
        <v>Unknown</v>
      </c>
      <c r="P433" s="4" t="str">
        <f t="shared" si="76"/>
        <v>direct</v>
      </c>
      <c r="Q433">
        <f t="shared" si="77"/>
        <v>60286.06</v>
      </c>
      <c r="R433" s="6">
        <f t="shared" si="78"/>
        <v>-666.18999999999505</v>
      </c>
      <c r="S433">
        <f t="shared" si="79"/>
        <v>-1.117395928572127E-2</v>
      </c>
      <c r="T433">
        <f t="shared" si="80"/>
        <v>0.69494738810180345</v>
      </c>
      <c r="U433">
        <f t="shared" si="81"/>
        <v>-26170.609999999993</v>
      </c>
      <c r="V433" t="str">
        <f t="shared" si="82"/>
        <v>Unprofitable</v>
      </c>
      <c r="W433" t="str" cm="1">
        <f t="array" ref="W433">_xlfn.IFS(S433&lt;0,"Loss", S433&lt;0.15,"Low Margin",S433&lt;0.3,"Medium High", TRUE, "High Margin")</f>
        <v>Loss</v>
      </c>
      <c r="X433" t="str">
        <f t="shared" si="83"/>
        <v>06-2024</v>
      </c>
    </row>
    <row r="434" spans="1:24" x14ac:dyDescent="0.3">
      <c r="A434">
        <v>10278</v>
      </c>
      <c r="B434" s="1">
        <v>45292</v>
      </c>
      <c r="C434" t="s">
        <v>22</v>
      </c>
      <c r="D434" t="s">
        <v>17</v>
      </c>
      <c r="F434" t="s">
        <v>32</v>
      </c>
      <c r="G434" t="s">
        <v>15</v>
      </c>
      <c r="H434" t="s">
        <v>16</v>
      </c>
      <c r="I434">
        <v>78742.19</v>
      </c>
      <c r="J434">
        <v>78435.19</v>
      </c>
      <c r="L434" t="str">
        <f t="shared" si="72"/>
        <v>Amit</v>
      </c>
      <c r="M434" t="str">
        <f t="shared" si="73"/>
        <v>West</v>
      </c>
      <c r="N434" t="str">
        <f t="shared" si="74"/>
        <v>Unknown</v>
      </c>
      <c r="O434" t="str">
        <f t="shared" si="75"/>
        <v>Smb</v>
      </c>
      <c r="P434" s="4" t="str">
        <f t="shared" si="76"/>
        <v>direct</v>
      </c>
      <c r="Q434">
        <f t="shared" si="77"/>
        <v>78435.19</v>
      </c>
      <c r="R434" s="6">
        <f t="shared" si="78"/>
        <v>307</v>
      </c>
      <c r="S434">
        <f t="shared" si="79"/>
        <v>3.8987993602921127E-3</v>
      </c>
      <c r="T434">
        <f t="shared" si="80"/>
        <v>0</v>
      </c>
      <c r="U434">
        <f t="shared" si="81"/>
        <v>78742.19</v>
      </c>
      <c r="V434" t="str">
        <f t="shared" si="82"/>
        <v>Profitable</v>
      </c>
      <c r="W434" t="str" cm="1">
        <f t="array" ref="W434">_xlfn.IFS(S434&lt;0,"Loss", S434&lt;0.15,"Low Margin",S434&lt;0.3,"Medium High", TRUE, "High Margin")</f>
        <v>Low Margin</v>
      </c>
      <c r="X434" t="str">
        <f t="shared" si="83"/>
        <v>01-2024</v>
      </c>
    </row>
    <row r="435" spans="1:24" x14ac:dyDescent="0.3">
      <c r="A435">
        <v>10216</v>
      </c>
      <c r="B435" s="1">
        <v>45346</v>
      </c>
      <c r="C435" t="s">
        <v>22</v>
      </c>
      <c r="D435" t="s">
        <v>23</v>
      </c>
      <c r="F435" t="s">
        <v>39</v>
      </c>
      <c r="G435" t="s">
        <v>42</v>
      </c>
      <c r="H435" t="s">
        <v>28</v>
      </c>
      <c r="I435">
        <v>179906.45</v>
      </c>
      <c r="J435">
        <v>29889.73</v>
      </c>
      <c r="K435">
        <v>72845.55</v>
      </c>
      <c r="L435" t="str">
        <f t="shared" si="72"/>
        <v>Amit</v>
      </c>
      <c r="M435" t="str">
        <f t="shared" si="73"/>
        <v>West</v>
      </c>
      <c r="N435" t="str">
        <f t="shared" si="74"/>
        <v>Unknown</v>
      </c>
      <c r="O435" t="str">
        <f t="shared" si="75"/>
        <v>Enterprise</v>
      </c>
      <c r="P435" s="4" t="str">
        <f t="shared" si="76"/>
        <v>Direct</v>
      </c>
      <c r="Q435">
        <f t="shared" si="77"/>
        <v>29889.73</v>
      </c>
      <c r="R435" s="6">
        <f t="shared" si="78"/>
        <v>150016.72</v>
      </c>
      <c r="S435">
        <f t="shared" si="79"/>
        <v>0.83385959758530048</v>
      </c>
      <c r="T435">
        <f t="shared" si="80"/>
        <v>2.4696971880917915</v>
      </c>
      <c r="U435">
        <f t="shared" si="81"/>
        <v>107060.90000000001</v>
      </c>
      <c r="V435" t="str">
        <f t="shared" si="82"/>
        <v>Profitable</v>
      </c>
      <c r="W435" t="str" cm="1">
        <f t="array" ref="W435">_xlfn.IFS(S435&lt;0,"Loss", S435&lt;0.15,"Low Margin",S435&lt;0.3,"Medium High", TRUE, "High Margin")</f>
        <v>High Margin</v>
      </c>
      <c r="X435" t="str">
        <f t="shared" si="83"/>
        <v>02-2024</v>
      </c>
    </row>
    <row r="436" spans="1:24" x14ac:dyDescent="0.3">
      <c r="A436">
        <v>10272</v>
      </c>
      <c r="B436" s="1">
        <v>45440</v>
      </c>
      <c r="C436" t="s">
        <v>25</v>
      </c>
      <c r="D436" t="s">
        <v>34</v>
      </c>
      <c r="F436" t="s">
        <v>32</v>
      </c>
      <c r="G436" t="s">
        <v>42</v>
      </c>
      <c r="H436" t="s">
        <v>16</v>
      </c>
      <c r="I436">
        <v>135960.91</v>
      </c>
      <c r="J436">
        <v>67661.490000000005</v>
      </c>
      <c r="L436" t="str">
        <f t="shared" si="72"/>
        <v>Priya</v>
      </c>
      <c r="M436" t="str">
        <f t="shared" si="73"/>
        <v>East</v>
      </c>
      <c r="N436" t="str">
        <f t="shared" si="74"/>
        <v>Unknown</v>
      </c>
      <c r="O436" t="str">
        <f t="shared" si="75"/>
        <v>Smb</v>
      </c>
      <c r="P436" s="4" t="str">
        <f t="shared" si="76"/>
        <v>direct</v>
      </c>
      <c r="Q436">
        <f t="shared" si="77"/>
        <v>67661.490000000005</v>
      </c>
      <c r="R436" s="6">
        <f t="shared" si="78"/>
        <v>68299.42</v>
      </c>
      <c r="S436">
        <f t="shared" si="79"/>
        <v>0.50234600518634365</v>
      </c>
      <c r="T436">
        <f t="shared" si="80"/>
        <v>0</v>
      </c>
      <c r="U436">
        <f t="shared" si="81"/>
        <v>135960.91</v>
      </c>
      <c r="V436" t="str">
        <f t="shared" si="82"/>
        <v>Profitable</v>
      </c>
      <c r="W436" t="str" cm="1">
        <f t="array" ref="W436">_xlfn.IFS(S436&lt;0,"Loss", S436&lt;0.15,"Low Margin",S436&lt;0.3,"Medium High", TRUE, "High Margin")</f>
        <v>High Margin</v>
      </c>
      <c r="X436" t="str">
        <f t="shared" si="83"/>
        <v>05-2024</v>
      </c>
    </row>
    <row r="437" spans="1:24" x14ac:dyDescent="0.3">
      <c r="A437">
        <v>10061</v>
      </c>
      <c r="B437" s="1">
        <v>45428</v>
      </c>
      <c r="C437" t="s">
        <v>41</v>
      </c>
      <c r="D437" t="s">
        <v>23</v>
      </c>
      <c r="E437" t="s">
        <v>24</v>
      </c>
      <c r="F437" t="s">
        <v>32</v>
      </c>
      <c r="G437" t="s">
        <v>20</v>
      </c>
      <c r="H437" t="s">
        <v>33</v>
      </c>
      <c r="I437">
        <v>159178.31</v>
      </c>
      <c r="J437">
        <v>46544.27</v>
      </c>
      <c r="K437">
        <v>156091.92000000001</v>
      </c>
      <c r="L437" t="str">
        <f t="shared" si="72"/>
        <v>Neha</v>
      </c>
      <c r="M437" t="str">
        <f t="shared" si="73"/>
        <v>West</v>
      </c>
      <c r="N437" t="str">
        <f t="shared" si="74"/>
        <v>Chennai</v>
      </c>
      <c r="O437" t="str">
        <f t="shared" si="75"/>
        <v>Smb</v>
      </c>
      <c r="P437" s="4" t="str">
        <f t="shared" si="76"/>
        <v>Partner</v>
      </c>
      <c r="Q437">
        <f t="shared" si="77"/>
        <v>46544.27</v>
      </c>
      <c r="R437" s="6">
        <f t="shared" si="78"/>
        <v>112634.04000000001</v>
      </c>
      <c r="S437">
        <f t="shared" si="79"/>
        <v>0.70759665685607553</v>
      </c>
      <c r="T437">
        <f t="shared" si="80"/>
        <v>1.019772900480691</v>
      </c>
      <c r="U437">
        <f t="shared" si="81"/>
        <v>3086.3899999999849</v>
      </c>
      <c r="V437" t="str">
        <f t="shared" si="82"/>
        <v>Profitable</v>
      </c>
      <c r="W437" t="str" cm="1">
        <f t="array" ref="W437">_xlfn.IFS(S437&lt;0,"Loss", S437&lt;0.15,"Low Margin",S437&lt;0.3,"Medium High", TRUE, "High Margin")</f>
        <v>High Margin</v>
      </c>
      <c r="X437" t="str">
        <f t="shared" si="83"/>
        <v>05-2024</v>
      </c>
    </row>
    <row r="438" spans="1:24" x14ac:dyDescent="0.3">
      <c r="A438">
        <v>10595</v>
      </c>
      <c r="B438" s="1">
        <v>45493</v>
      </c>
      <c r="C438" t="s">
        <v>25</v>
      </c>
      <c r="D438" t="s">
        <v>12</v>
      </c>
      <c r="E438" t="s">
        <v>35</v>
      </c>
      <c r="F438" t="s">
        <v>32</v>
      </c>
      <c r="G438" t="s">
        <v>40</v>
      </c>
      <c r="H438" t="s">
        <v>16</v>
      </c>
      <c r="I438">
        <v>95234.32</v>
      </c>
      <c r="J438">
        <v>80415.070000000007</v>
      </c>
      <c r="K438">
        <v>52244.54</v>
      </c>
      <c r="L438" t="str">
        <f t="shared" si="72"/>
        <v>Priya</v>
      </c>
      <c r="M438" t="str">
        <f t="shared" si="73"/>
        <v>South</v>
      </c>
      <c r="N438" t="str">
        <f t="shared" si="74"/>
        <v>Hyderabad</v>
      </c>
      <c r="O438" t="str">
        <f t="shared" si="75"/>
        <v>Smb</v>
      </c>
      <c r="P438" s="4" t="str">
        <f t="shared" si="76"/>
        <v>direct</v>
      </c>
      <c r="Q438">
        <f t="shared" si="77"/>
        <v>80415.070000000007</v>
      </c>
      <c r="R438" s="6">
        <f t="shared" si="78"/>
        <v>14819.25</v>
      </c>
      <c r="S438">
        <f t="shared" si="79"/>
        <v>0.15560829331274689</v>
      </c>
      <c r="T438">
        <f t="shared" si="80"/>
        <v>1.8228568956679494</v>
      </c>
      <c r="U438">
        <f t="shared" si="81"/>
        <v>42989.780000000006</v>
      </c>
      <c r="V438" t="str">
        <f t="shared" si="82"/>
        <v>Profitable</v>
      </c>
      <c r="W438" t="str" cm="1">
        <f t="array" ref="W438">_xlfn.IFS(S438&lt;0,"Loss", S438&lt;0.15,"Low Margin",S438&lt;0.3,"Medium High", TRUE, "High Margin")</f>
        <v>Medium High</v>
      </c>
      <c r="X438" t="str">
        <f t="shared" si="83"/>
        <v>07-2024</v>
      </c>
    </row>
    <row r="439" spans="1:24" x14ac:dyDescent="0.3">
      <c r="A439">
        <v>10341</v>
      </c>
      <c r="B439" s="1">
        <v>45408</v>
      </c>
      <c r="C439" t="s">
        <v>29</v>
      </c>
      <c r="D439" t="s">
        <v>12</v>
      </c>
      <c r="E439" t="s">
        <v>13</v>
      </c>
      <c r="F439" t="s">
        <v>19</v>
      </c>
      <c r="G439" t="s">
        <v>20</v>
      </c>
      <c r="H439" t="s">
        <v>21</v>
      </c>
      <c r="I439">
        <v>129007.47</v>
      </c>
      <c r="J439">
        <v>19523.150000000001</v>
      </c>
      <c r="K439">
        <v>169509.29</v>
      </c>
      <c r="L439" t="str">
        <f t="shared" si="72"/>
        <v>Sneha</v>
      </c>
      <c r="M439" t="str">
        <f t="shared" si="73"/>
        <v>South</v>
      </c>
      <c r="N439" t="str">
        <f t="shared" si="74"/>
        <v>Bengaluru</v>
      </c>
      <c r="O439" t="str">
        <f t="shared" si="75"/>
        <v>Startup</v>
      </c>
      <c r="P439" s="4" t="str">
        <f t="shared" si="76"/>
        <v>Online</v>
      </c>
      <c r="Q439">
        <f t="shared" si="77"/>
        <v>19523.150000000001</v>
      </c>
      <c r="R439" s="6">
        <f t="shared" si="78"/>
        <v>109484.32</v>
      </c>
      <c r="S439">
        <f t="shared" si="79"/>
        <v>0.8486665152025693</v>
      </c>
      <c r="T439">
        <f t="shared" si="80"/>
        <v>0.76106430508911926</v>
      </c>
      <c r="U439">
        <f t="shared" si="81"/>
        <v>-40501.820000000007</v>
      </c>
      <c r="V439" t="str">
        <f t="shared" si="82"/>
        <v>Profitable</v>
      </c>
      <c r="W439" t="str" cm="1">
        <f t="array" ref="W439">_xlfn.IFS(S439&lt;0,"Loss", S439&lt;0.15,"Low Margin",S439&lt;0.3,"Medium High", TRUE, "High Margin")</f>
        <v>High Margin</v>
      </c>
      <c r="X439" t="str">
        <f t="shared" si="83"/>
        <v>04-2024</v>
      </c>
    </row>
    <row r="440" spans="1:24" x14ac:dyDescent="0.3">
      <c r="A440">
        <v>10396</v>
      </c>
      <c r="B440" s="1">
        <v>45445</v>
      </c>
      <c r="C440" t="s">
        <v>45</v>
      </c>
      <c r="D440" t="s">
        <v>31</v>
      </c>
      <c r="E440" t="s">
        <v>44</v>
      </c>
      <c r="G440" t="s">
        <v>15</v>
      </c>
      <c r="I440">
        <v>55689.65</v>
      </c>
      <c r="J440">
        <v>69792.66</v>
      </c>
      <c r="K440">
        <v>130254.02</v>
      </c>
      <c r="L440" t="str">
        <f t="shared" si="72"/>
        <v>Rahul</v>
      </c>
      <c r="M440" t="str">
        <f t="shared" si="73"/>
        <v>South</v>
      </c>
      <c r="N440" t="str">
        <f t="shared" si="74"/>
        <v>Pune</v>
      </c>
      <c r="O440" t="str">
        <f t="shared" si="75"/>
        <v>Unknown</v>
      </c>
      <c r="P440" s="4" t="str">
        <f t="shared" si="76"/>
        <v>Unknown</v>
      </c>
      <c r="Q440">
        <f t="shared" si="77"/>
        <v>69792.66</v>
      </c>
      <c r="R440" s="6">
        <f t="shared" si="78"/>
        <v>-14103.010000000002</v>
      </c>
      <c r="S440">
        <f t="shared" si="79"/>
        <v>-0.25324292754578276</v>
      </c>
      <c r="T440">
        <f t="shared" si="80"/>
        <v>0.42754649722135257</v>
      </c>
      <c r="U440">
        <f t="shared" si="81"/>
        <v>-74564.37</v>
      </c>
      <c r="V440" t="str">
        <f t="shared" si="82"/>
        <v>Unprofitable</v>
      </c>
      <c r="W440" t="str" cm="1">
        <f t="array" ref="W440">_xlfn.IFS(S440&lt;0,"Loss", S440&lt;0.15,"Low Margin",S440&lt;0.3,"Medium High", TRUE, "High Margin")</f>
        <v>Loss</v>
      </c>
      <c r="X440" t="str">
        <f t="shared" si="83"/>
        <v>06-2024</v>
      </c>
    </row>
    <row r="441" spans="1:24" x14ac:dyDescent="0.3">
      <c r="A441">
        <v>10018</v>
      </c>
      <c r="B441" s="1">
        <v>45354</v>
      </c>
      <c r="C441" t="s">
        <v>36</v>
      </c>
      <c r="D441" t="s">
        <v>37</v>
      </c>
      <c r="E441" t="s">
        <v>24</v>
      </c>
      <c r="F441" t="s">
        <v>14</v>
      </c>
      <c r="G441" t="s">
        <v>40</v>
      </c>
      <c r="H441" t="s">
        <v>33</v>
      </c>
      <c r="I441">
        <v>143448.48000000001</v>
      </c>
      <c r="J441">
        <v>24676.63</v>
      </c>
      <c r="K441">
        <v>151723.71</v>
      </c>
      <c r="L441" t="str">
        <f t="shared" si="72"/>
        <v>Amit</v>
      </c>
      <c r="M441" t="str">
        <f t="shared" si="73"/>
        <v>North</v>
      </c>
      <c r="N441" t="str">
        <f t="shared" si="74"/>
        <v>Chennai</v>
      </c>
      <c r="O441" t="str">
        <f t="shared" si="75"/>
        <v>Enterprise</v>
      </c>
      <c r="P441" s="4" t="str">
        <f t="shared" si="76"/>
        <v>Partner</v>
      </c>
      <c r="Q441">
        <f t="shared" si="77"/>
        <v>24676.63</v>
      </c>
      <c r="R441" s="6">
        <f t="shared" si="78"/>
        <v>118771.85</v>
      </c>
      <c r="S441">
        <f t="shared" si="79"/>
        <v>0.8279756606692521</v>
      </c>
      <c r="T441">
        <f t="shared" si="80"/>
        <v>0.94545855753197716</v>
      </c>
      <c r="U441">
        <f t="shared" si="81"/>
        <v>-8275.2299999999814</v>
      </c>
      <c r="V441" t="str">
        <f t="shared" si="82"/>
        <v>Profitable</v>
      </c>
      <c r="W441" t="str" cm="1">
        <f t="array" ref="W441">_xlfn.IFS(S441&lt;0,"Loss", S441&lt;0.15,"Low Margin",S441&lt;0.3,"Medium High", TRUE, "High Margin")</f>
        <v>High Margin</v>
      </c>
      <c r="X441" t="str">
        <f t="shared" si="83"/>
        <v>03-2024</v>
      </c>
    </row>
    <row r="442" spans="1:24" x14ac:dyDescent="0.3">
      <c r="A442">
        <v>10176</v>
      </c>
      <c r="B442" s="1">
        <v>45535</v>
      </c>
      <c r="C442" t="s">
        <v>11</v>
      </c>
      <c r="E442" t="s">
        <v>26</v>
      </c>
      <c r="F442" t="s">
        <v>14</v>
      </c>
      <c r="G442" t="s">
        <v>27</v>
      </c>
      <c r="H442" t="s">
        <v>21</v>
      </c>
      <c r="I442">
        <v>90099.46</v>
      </c>
      <c r="J442">
        <v>35601.24</v>
      </c>
      <c r="K442">
        <v>108990.51</v>
      </c>
      <c r="L442" t="str">
        <f t="shared" si="72"/>
        <v>Rahul</v>
      </c>
      <c r="M442" t="str">
        <f t="shared" si="73"/>
        <v>Unknown</v>
      </c>
      <c r="N442" t="str">
        <f t="shared" si="74"/>
        <v>Mumbai</v>
      </c>
      <c r="O442" t="str">
        <f t="shared" si="75"/>
        <v>Enterprise</v>
      </c>
      <c r="P442" s="4" t="str">
        <f t="shared" si="76"/>
        <v>Online</v>
      </c>
      <c r="Q442">
        <f t="shared" si="77"/>
        <v>35601.24</v>
      </c>
      <c r="R442" s="6">
        <f t="shared" si="78"/>
        <v>54498.220000000008</v>
      </c>
      <c r="S442">
        <f t="shared" si="79"/>
        <v>0.6048673321682505</v>
      </c>
      <c r="T442">
        <f t="shared" si="80"/>
        <v>0.82667252405736991</v>
      </c>
      <c r="U442">
        <f t="shared" si="81"/>
        <v>-18891.049999999988</v>
      </c>
      <c r="V442" t="str">
        <f t="shared" si="82"/>
        <v>Profitable</v>
      </c>
      <c r="W442" t="str" cm="1">
        <f t="array" ref="W442">_xlfn.IFS(S442&lt;0,"Loss", S442&lt;0.15,"Low Margin",S442&lt;0.3,"Medium High", TRUE, "High Margin")</f>
        <v>High Margin</v>
      </c>
      <c r="X442" t="str">
        <f t="shared" si="83"/>
        <v>08-2024</v>
      </c>
    </row>
    <row r="443" spans="1:24" x14ac:dyDescent="0.3">
      <c r="A443">
        <v>10395</v>
      </c>
      <c r="B443" s="1">
        <v>45316</v>
      </c>
      <c r="C443" t="s">
        <v>30</v>
      </c>
      <c r="D443" t="s">
        <v>34</v>
      </c>
      <c r="E443" t="s">
        <v>35</v>
      </c>
      <c r="F443" t="s">
        <v>19</v>
      </c>
      <c r="G443" t="s">
        <v>43</v>
      </c>
      <c r="H443" t="s">
        <v>28</v>
      </c>
      <c r="I443">
        <v>92968.74</v>
      </c>
      <c r="J443">
        <v>28589.05</v>
      </c>
      <c r="K443">
        <v>144722.67000000001</v>
      </c>
      <c r="L443" t="str">
        <f t="shared" si="72"/>
        <v>Ankit</v>
      </c>
      <c r="M443" t="str">
        <f t="shared" si="73"/>
        <v>East</v>
      </c>
      <c r="N443" t="str">
        <f t="shared" si="74"/>
        <v>Hyderabad</v>
      </c>
      <c r="O443" t="str">
        <f t="shared" si="75"/>
        <v>Startup</v>
      </c>
      <c r="P443" s="4" t="str">
        <f t="shared" si="76"/>
        <v>Direct</v>
      </c>
      <c r="Q443">
        <f t="shared" si="77"/>
        <v>28589.05</v>
      </c>
      <c r="R443" s="6">
        <f t="shared" si="78"/>
        <v>64379.69</v>
      </c>
      <c r="S443">
        <f t="shared" si="79"/>
        <v>0.69248749633478945</v>
      </c>
      <c r="T443">
        <f t="shared" si="80"/>
        <v>0.64239237708922869</v>
      </c>
      <c r="U443">
        <f t="shared" si="81"/>
        <v>-51753.930000000008</v>
      </c>
      <c r="V443" t="str">
        <f t="shared" si="82"/>
        <v>Profitable</v>
      </c>
      <c r="W443" t="str" cm="1">
        <f t="array" ref="W443">_xlfn.IFS(S443&lt;0,"Loss", S443&lt;0.15,"Low Margin",S443&lt;0.3,"Medium High", TRUE, "High Margin")</f>
        <v>High Margin</v>
      </c>
      <c r="X443" t="str">
        <f t="shared" si="83"/>
        <v>01-2024</v>
      </c>
    </row>
    <row r="444" spans="1:24" x14ac:dyDescent="0.3">
      <c r="A444">
        <v>10444</v>
      </c>
      <c r="B444" s="1">
        <v>45381</v>
      </c>
      <c r="C444" t="s">
        <v>30</v>
      </c>
      <c r="D444" t="s">
        <v>31</v>
      </c>
      <c r="E444" t="s">
        <v>24</v>
      </c>
      <c r="F444" t="s">
        <v>32</v>
      </c>
      <c r="G444" t="s">
        <v>27</v>
      </c>
      <c r="H444" t="s">
        <v>33</v>
      </c>
      <c r="I444">
        <v>132669.89000000001</v>
      </c>
      <c r="J444">
        <v>24392.02</v>
      </c>
      <c r="K444">
        <v>22592.06</v>
      </c>
      <c r="L444" t="str">
        <f t="shared" si="72"/>
        <v>Ankit</v>
      </c>
      <c r="M444" t="str">
        <f t="shared" si="73"/>
        <v>South</v>
      </c>
      <c r="N444" t="str">
        <f t="shared" si="74"/>
        <v>Chennai</v>
      </c>
      <c r="O444" t="str">
        <f t="shared" si="75"/>
        <v>Smb</v>
      </c>
      <c r="P444" s="4" t="str">
        <f t="shared" si="76"/>
        <v>Partner</v>
      </c>
      <c r="Q444">
        <f t="shared" si="77"/>
        <v>24392.02</v>
      </c>
      <c r="R444" s="6">
        <f t="shared" si="78"/>
        <v>108277.87000000001</v>
      </c>
      <c r="S444">
        <f t="shared" si="79"/>
        <v>0.81614501979311205</v>
      </c>
      <c r="T444">
        <f t="shared" si="80"/>
        <v>5.8724122545708539</v>
      </c>
      <c r="U444">
        <f t="shared" si="81"/>
        <v>110077.83000000002</v>
      </c>
      <c r="V444" t="str">
        <f t="shared" si="82"/>
        <v>Profitable</v>
      </c>
      <c r="W444" t="str" cm="1">
        <f t="array" ref="W444">_xlfn.IFS(S444&lt;0,"Loss", S444&lt;0.15,"Low Margin",S444&lt;0.3,"Medium High", TRUE, "High Margin")</f>
        <v>High Margin</v>
      </c>
      <c r="X444" t="str">
        <f t="shared" si="83"/>
        <v>03-2024</v>
      </c>
    </row>
    <row r="445" spans="1:24" x14ac:dyDescent="0.3">
      <c r="A445">
        <v>10232</v>
      </c>
      <c r="B445" s="1">
        <v>45366</v>
      </c>
      <c r="C445" t="s">
        <v>25</v>
      </c>
      <c r="D445" t="s">
        <v>34</v>
      </c>
      <c r="E445" t="s">
        <v>13</v>
      </c>
      <c r="F445" t="s">
        <v>19</v>
      </c>
      <c r="G445" t="s">
        <v>15</v>
      </c>
      <c r="I445">
        <v>187765.88</v>
      </c>
      <c r="J445">
        <v>99608.18</v>
      </c>
      <c r="K445">
        <v>150940.87</v>
      </c>
      <c r="L445" t="str">
        <f t="shared" si="72"/>
        <v>Priya</v>
      </c>
      <c r="M445" t="str">
        <f t="shared" si="73"/>
        <v>East</v>
      </c>
      <c r="N445" t="str">
        <f t="shared" si="74"/>
        <v>Bengaluru</v>
      </c>
      <c r="O445" t="str">
        <f t="shared" si="75"/>
        <v>Startup</v>
      </c>
      <c r="P445" s="4" t="str">
        <f t="shared" si="76"/>
        <v>Unknown</v>
      </c>
      <c r="Q445">
        <f t="shared" si="77"/>
        <v>99608.18</v>
      </c>
      <c r="R445" s="6">
        <f t="shared" si="78"/>
        <v>88157.700000000012</v>
      </c>
      <c r="S445">
        <f t="shared" si="79"/>
        <v>0.46950862425058276</v>
      </c>
      <c r="T445">
        <f t="shared" si="80"/>
        <v>1.2439697743891367</v>
      </c>
      <c r="U445">
        <f t="shared" si="81"/>
        <v>36825.010000000009</v>
      </c>
      <c r="V445" t="str">
        <f t="shared" si="82"/>
        <v>Profitable</v>
      </c>
      <c r="W445" t="str" cm="1">
        <f t="array" ref="W445">_xlfn.IFS(S445&lt;0,"Loss", S445&lt;0.15,"Low Margin",S445&lt;0.3,"Medium High", TRUE, "High Margin")</f>
        <v>High Margin</v>
      </c>
      <c r="X445" t="str">
        <f t="shared" si="83"/>
        <v>03-2024</v>
      </c>
    </row>
    <row r="446" spans="1:24" x14ac:dyDescent="0.3">
      <c r="A446">
        <v>10075</v>
      </c>
      <c r="B446" s="1">
        <v>45501</v>
      </c>
      <c r="C446" t="s">
        <v>29</v>
      </c>
      <c r="D446" t="s">
        <v>37</v>
      </c>
      <c r="E446" t="s">
        <v>44</v>
      </c>
      <c r="F446" t="s">
        <v>19</v>
      </c>
      <c r="G446" t="s">
        <v>40</v>
      </c>
      <c r="I446">
        <v>20289.22</v>
      </c>
      <c r="J446">
        <v>36427.79</v>
      </c>
      <c r="K446">
        <v>26422.22</v>
      </c>
      <c r="L446" t="str">
        <f t="shared" si="72"/>
        <v>Sneha</v>
      </c>
      <c r="M446" t="str">
        <f t="shared" si="73"/>
        <v>North</v>
      </c>
      <c r="N446" t="str">
        <f t="shared" si="74"/>
        <v>Pune</v>
      </c>
      <c r="O446" t="str">
        <f t="shared" si="75"/>
        <v>Startup</v>
      </c>
      <c r="P446" s="4" t="str">
        <f t="shared" si="76"/>
        <v>Unknown</v>
      </c>
      <c r="Q446">
        <f t="shared" si="77"/>
        <v>36427.79</v>
      </c>
      <c r="R446" s="6">
        <f t="shared" si="78"/>
        <v>-16138.57</v>
      </c>
      <c r="S446">
        <f t="shared" si="79"/>
        <v>-0.79542584682900563</v>
      </c>
      <c r="T446">
        <f t="shared" si="80"/>
        <v>0.76788475760174579</v>
      </c>
      <c r="U446">
        <f t="shared" si="81"/>
        <v>-6133</v>
      </c>
      <c r="V446" t="str">
        <f t="shared" si="82"/>
        <v>Unprofitable</v>
      </c>
      <c r="W446" t="str" cm="1">
        <f t="array" ref="W446">_xlfn.IFS(S446&lt;0,"Loss", S446&lt;0.15,"Low Margin",S446&lt;0.3,"Medium High", TRUE, "High Margin")</f>
        <v>Loss</v>
      </c>
      <c r="X446" t="str">
        <f t="shared" si="83"/>
        <v>07-2024</v>
      </c>
    </row>
    <row r="447" spans="1:24" x14ac:dyDescent="0.3">
      <c r="A447">
        <v>10264</v>
      </c>
      <c r="B447" s="1">
        <v>45308</v>
      </c>
      <c r="C447" t="s">
        <v>45</v>
      </c>
      <c r="D447" t="s">
        <v>23</v>
      </c>
      <c r="F447" t="s">
        <v>39</v>
      </c>
      <c r="G447" t="s">
        <v>15</v>
      </c>
      <c r="H447" t="s">
        <v>28</v>
      </c>
      <c r="I447">
        <v>166350.70000000001</v>
      </c>
      <c r="J447">
        <v>111473.48</v>
      </c>
      <c r="K447">
        <v>162386.14000000001</v>
      </c>
      <c r="L447" t="str">
        <f t="shared" si="72"/>
        <v>Rahul</v>
      </c>
      <c r="M447" t="str">
        <f t="shared" si="73"/>
        <v>West</v>
      </c>
      <c r="N447" t="str">
        <f t="shared" si="74"/>
        <v>Unknown</v>
      </c>
      <c r="O447" t="str">
        <f t="shared" si="75"/>
        <v>Enterprise</v>
      </c>
      <c r="P447" s="4" t="str">
        <f t="shared" si="76"/>
        <v>Direct</v>
      </c>
      <c r="Q447">
        <f t="shared" si="77"/>
        <v>111473.48</v>
      </c>
      <c r="R447" s="6">
        <f t="shared" si="78"/>
        <v>54877.220000000016</v>
      </c>
      <c r="S447">
        <f t="shared" si="79"/>
        <v>0.32988872304114147</v>
      </c>
      <c r="T447">
        <f t="shared" si="80"/>
        <v>1.0244143989136019</v>
      </c>
      <c r="U447">
        <f t="shared" si="81"/>
        <v>3964.5599999999977</v>
      </c>
      <c r="V447" t="str">
        <f t="shared" si="82"/>
        <v>Profitable</v>
      </c>
      <c r="W447" t="str" cm="1">
        <f t="array" ref="W447">_xlfn.IFS(S447&lt;0,"Loss", S447&lt;0.15,"Low Margin",S447&lt;0.3,"Medium High", TRUE, "High Margin")</f>
        <v>High Margin</v>
      </c>
      <c r="X447" t="str">
        <f t="shared" si="83"/>
        <v>01-2024</v>
      </c>
    </row>
    <row r="448" spans="1:24" x14ac:dyDescent="0.3">
      <c r="A448">
        <v>10454</v>
      </c>
      <c r="B448" s="1">
        <v>45419</v>
      </c>
      <c r="D448" t="s">
        <v>23</v>
      </c>
      <c r="E448" t="s">
        <v>35</v>
      </c>
      <c r="G448" t="s">
        <v>43</v>
      </c>
      <c r="H448" t="s">
        <v>28</v>
      </c>
      <c r="I448">
        <v>64137.56</v>
      </c>
      <c r="J448">
        <v>116481.4</v>
      </c>
      <c r="K448">
        <v>178714.04</v>
      </c>
      <c r="L448" t="str">
        <f t="shared" si="72"/>
        <v>Unassigned</v>
      </c>
      <c r="M448" t="str">
        <f t="shared" si="73"/>
        <v>West</v>
      </c>
      <c r="N448" t="str">
        <f t="shared" si="74"/>
        <v>Hyderabad</v>
      </c>
      <c r="O448" t="str">
        <f t="shared" si="75"/>
        <v>Unknown</v>
      </c>
      <c r="P448" s="4" t="str">
        <f t="shared" si="76"/>
        <v>Direct</v>
      </c>
      <c r="Q448">
        <f t="shared" si="77"/>
        <v>116481.4</v>
      </c>
      <c r="R448" s="6">
        <f t="shared" si="78"/>
        <v>-52343.839999999997</v>
      </c>
      <c r="S448">
        <f t="shared" si="79"/>
        <v>-0.81611835560941204</v>
      </c>
      <c r="T448">
        <f t="shared" si="80"/>
        <v>0.35888372284572601</v>
      </c>
      <c r="U448">
        <f t="shared" si="81"/>
        <v>-114576.48000000001</v>
      </c>
      <c r="V448" t="str">
        <f t="shared" si="82"/>
        <v>Unprofitable</v>
      </c>
      <c r="W448" t="str" cm="1">
        <f t="array" ref="W448">_xlfn.IFS(S448&lt;0,"Loss", S448&lt;0.15,"Low Margin",S448&lt;0.3,"Medium High", TRUE, "High Margin")</f>
        <v>Loss</v>
      </c>
      <c r="X448" t="str">
        <f t="shared" si="83"/>
        <v>05-2024</v>
      </c>
    </row>
    <row r="449" spans="1:24" x14ac:dyDescent="0.3">
      <c r="A449">
        <v>10383</v>
      </c>
      <c r="B449" s="1">
        <v>45542</v>
      </c>
      <c r="C449" t="s">
        <v>30</v>
      </c>
      <c r="E449" t="s">
        <v>38</v>
      </c>
      <c r="F449" t="s">
        <v>14</v>
      </c>
      <c r="G449" t="s">
        <v>42</v>
      </c>
      <c r="H449" t="s">
        <v>33</v>
      </c>
      <c r="I449">
        <v>93232.54</v>
      </c>
      <c r="J449">
        <v>69837.47</v>
      </c>
      <c r="K449">
        <v>67050.789999999994</v>
      </c>
      <c r="L449" t="str">
        <f t="shared" si="72"/>
        <v>Ankit</v>
      </c>
      <c r="M449" t="str">
        <f t="shared" si="73"/>
        <v>Unknown</v>
      </c>
      <c r="N449" t="str">
        <f t="shared" si="74"/>
        <v>Delhi</v>
      </c>
      <c r="O449" t="str">
        <f t="shared" si="75"/>
        <v>Enterprise</v>
      </c>
      <c r="P449" s="4" t="str">
        <f t="shared" si="76"/>
        <v>Partner</v>
      </c>
      <c r="Q449">
        <f t="shared" si="77"/>
        <v>69837.47</v>
      </c>
      <c r="R449" s="6">
        <f t="shared" si="78"/>
        <v>23395.069999999992</v>
      </c>
      <c r="S449">
        <f t="shared" si="79"/>
        <v>0.25093245341165216</v>
      </c>
      <c r="T449">
        <f t="shared" si="80"/>
        <v>1.3904763836488727</v>
      </c>
      <c r="U449">
        <f t="shared" si="81"/>
        <v>26181.75</v>
      </c>
      <c r="V449" t="str">
        <f t="shared" si="82"/>
        <v>Profitable</v>
      </c>
      <c r="W449" t="str" cm="1">
        <f t="array" ref="W449">_xlfn.IFS(S449&lt;0,"Loss", S449&lt;0.15,"Low Margin",S449&lt;0.3,"Medium High", TRUE, "High Margin")</f>
        <v>Medium High</v>
      </c>
      <c r="X449" t="str">
        <f t="shared" si="83"/>
        <v>09-2024</v>
      </c>
    </row>
    <row r="450" spans="1:24" x14ac:dyDescent="0.3">
      <c r="A450">
        <v>10563</v>
      </c>
      <c r="B450" s="1">
        <v>45470</v>
      </c>
      <c r="C450" t="s">
        <v>45</v>
      </c>
      <c r="D450" t="s">
        <v>37</v>
      </c>
      <c r="E450" t="s">
        <v>44</v>
      </c>
      <c r="F450" t="s">
        <v>32</v>
      </c>
      <c r="G450" t="s">
        <v>42</v>
      </c>
      <c r="H450" t="s">
        <v>16</v>
      </c>
      <c r="I450">
        <v>12207.36</v>
      </c>
      <c r="J450">
        <v>19731.13</v>
      </c>
      <c r="K450">
        <v>53650.97</v>
      </c>
      <c r="L450" t="str">
        <f t="shared" si="72"/>
        <v>Rahul</v>
      </c>
      <c r="M450" t="str">
        <f t="shared" si="73"/>
        <v>North</v>
      </c>
      <c r="N450" t="str">
        <f t="shared" si="74"/>
        <v>Pune</v>
      </c>
      <c r="O450" t="str">
        <f t="shared" si="75"/>
        <v>Smb</v>
      </c>
      <c r="P450" s="4" t="str">
        <f t="shared" si="76"/>
        <v>direct</v>
      </c>
      <c r="Q450">
        <f t="shared" si="77"/>
        <v>19731.13</v>
      </c>
      <c r="R450" s="6">
        <f t="shared" si="78"/>
        <v>-7523.77</v>
      </c>
      <c r="S450">
        <f t="shared" si="79"/>
        <v>-0.61633063987627135</v>
      </c>
      <c r="T450">
        <f t="shared" si="80"/>
        <v>0.22753288523953993</v>
      </c>
      <c r="U450">
        <f t="shared" si="81"/>
        <v>-41443.61</v>
      </c>
      <c r="V450" t="str">
        <f t="shared" si="82"/>
        <v>Unprofitable</v>
      </c>
      <c r="W450" t="str" cm="1">
        <f t="array" ref="W450">_xlfn.IFS(S450&lt;0,"Loss", S450&lt;0.15,"Low Margin",S450&lt;0.3,"Medium High", TRUE, "High Margin")</f>
        <v>Loss</v>
      </c>
      <c r="X450" t="str">
        <f t="shared" si="83"/>
        <v>06-2024</v>
      </c>
    </row>
    <row r="451" spans="1:24" x14ac:dyDescent="0.3">
      <c r="A451">
        <v>10505</v>
      </c>
      <c r="B451" s="1">
        <v>45473</v>
      </c>
      <c r="C451" t="s">
        <v>36</v>
      </c>
      <c r="D451" t="s">
        <v>31</v>
      </c>
      <c r="E451" t="s">
        <v>26</v>
      </c>
      <c r="F451" t="s">
        <v>14</v>
      </c>
      <c r="G451" t="s">
        <v>15</v>
      </c>
      <c r="H451" t="s">
        <v>28</v>
      </c>
      <c r="I451">
        <v>65800.850000000006</v>
      </c>
      <c r="J451">
        <v>46822.14</v>
      </c>
      <c r="K451">
        <v>142458.14000000001</v>
      </c>
      <c r="L451" t="str">
        <f t="shared" ref="L451" si="84">IF(TRIM(C451)="","Unassigned", PROPER(TRIM(C451)))</f>
        <v>Amit</v>
      </c>
      <c r="M451" t="str">
        <f t="shared" ref="M451" si="85">IF(TRIM(D451)="","Unknown",PROPER(TRIM(D451)))</f>
        <v>South</v>
      </c>
      <c r="N451" t="str">
        <f t="shared" ref="N451" si="86">IF(TRIM(E451)="","Unknown", PROPER(TRIM(E451)))</f>
        <v>Mumbai</v>
      </c>
      <c r="O451" t="str">
        <f t="shared" ref="O451" si="87">IF(TRIM(F451)="","Unknown",PROPER(TRIM(F451)))</f>
        <v>Enterprise</v>
      </c>
      <c r="P451" s="4" t="str">
        <f t="shared" ref="P451" si="88">IF(TRIM(H451)="","Unknown",TRIM(H451))</f>
        <v>Direct</v>
      </c>
      <c r="Q451">
        <f t="shared" ref="Q451" si="89">IFERROR(J451,0)</f>
        <v>46822.14</v>
      </c>
      <c r="R451" s="6">
        <f t="shared" ref="R451" si="90">I451-Q451</f>
        <v>18978.710000000006</v>
      </c>
      <c r="S451">
        <f t="shared" ref="S451" si="91">IFERROR(R451/I451,0)</f>
        <v>0.28842651728663088</v>
      </c>
      <c r="T451">
        <f t="shared" ref="T451" si="92">IFERROR(I451/K451,0)</f>
        <v>0.46189603486329389</v>
      </c>
      <c r="U451">
        <f t="shared" ref="U451" si="93">I451-K451</f>
        <v>-76657.290000000008</v>
      </c>
      <c r="V451" t="str">
        <f t="shared" ref="V451" si="94">IF(R451&lt;0,"Unprofitable","Profitable")</f>
        <v>Profitable</v>
      </c>
      <c r="W451" t="str" cm="1">
        <f t="array" ref="W451">_xlfn.IFS(S451&lt;0,"Loss", S451&lt;0.15,"Low Margin",S451&lt;0.3,"Medium High", TRUE, "High Margin")</f>
        <v>Medium High</v>
      </c>
      <c r="X451" t="str">
        <f t="shared" ref="X451" si="95">TEXT(B451,"MM-YYYY")</f>
        <v>06-2024</v>
      </c>
    </row>
  </sheetData>
  <conditionalFormatting sqref="R2">
    <cfRule type="cellIs" dxfId="24" priority="13" operator="lessThan">
      <formula>0</formula>
    </cfRule>
    <cfRule type="cellIs" dxfId="23" priority="12" operator="lessThan">
      <formula>0</formula>
    </cfRule>
    <cfRule type="cellIs" dxfId="22" priority="11" operator="greaterThan">
      <formula>0</formula>
    </cfRule>
  </conditionalFormatting>
  <conditionalFormatting sqref="R2:R451">
    <cfRule type="cellIs" dxfId="21" priority="10" operator="greaterThan">
      <formula>0</formula>
    </cfRule>
    <cfRule type="cellIs" dxfId="20" priority="9" operator="lessThan">
      <formula>0</formula>
    </cfRule>
  </conditionalFormatting>
  <conditionalFormatting sqref="S2:S451">
    <cfRule type="cellIs" dxfId="19" priority="8" operator="greaterThan">
      <formula>0</formula>
    </cfRule>
    <cfRule type="cellIs" dxfId="18" priority="7" operator="lessThan">
      <formula>0</formula>
    </cfRule>
  </conditionalFormatting>
  <conditionalFormatting sqref="U2:U451">
    <cfRule type="cellIs" dxfId="17" priority="6" operator="greaterThan">
      <formula>0</formula>
    </cfRule>
    <cfRule type="cellIs" dxfId="16" priority="5" operator="lessThan">
      <formula>0</formula>
    </cfRule>
  </conditionalFormatting>
  <conditionalFormatting sqref="V2:V451">
    <cfRule type="cellIs" dxfId="0" priority="4" operator="lessThan">
      <formula>0</formula>
    </cfRule>
    <cfRule type="cellIs" dxfId="1" priority="3" operator="lessThan">
      <formula>0</formula>
    </cfRule>
    <cfRule type="cellIs" dxfId="2" priority="2" operator="greaterThan">
      <formula>0</formula>
    </cfRule>
    <cfRule type="containsText" dxfId="3" priority="1" operator="containsText" text="Unprofitable">
      <formula>NOT(ISERROR(SEARCH("Unprofitable",V2)))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sales_excellence_universal_dirt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Nigam</cp:lastModifiedBy>
  <dcterms:created xsi:type="dcterms:W3CDTF">2026-01-14T11:16:32Z</dcterms:created>
  <dcterms:modified xsi:type="dcterms:W3CDTF">2026-01-14T18:08:41Z</dcterms:modified>
</cp:coreProperties>
</file>